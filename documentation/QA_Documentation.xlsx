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1383f43fe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8af6cd0f372a4418"/>
    <x:sheet xmlns:r="http://schemas.openxmlformats.org/officeDocument/2006/relationships" name="Test Scenarios" sheetId="2" r:id="R84e7c16053ea453c"/>
    <x:sheet xmlns:r="http://schemas.openxmlformats.org/officeDocument/2006/relationships" name="Test Cases" sheetId="3" r:id="R15c7c2874c4a46dc"/>
    <x:sheet xmlns:r="http://schemas.openxmlformats.org/officeDocument/2006/relationships" name="RTM" sheetId="4" r:id="R3b4ead6c54b24d3c"/>
    <x:sheet xmlns:r="http://schemas.openxmlformats.org/officeDocument/2006/relationships" name="Defect Log" sheetId="5" r:id="R07da0a0f0b894e81"/>
    <x:sheet xmlns:r="http://schemas.openxmlformats.org/officeDocument/2006/relationships" name="Exploratory Sessions" sheetId="6" r:id="R2192af49bfed4fd8"/>
    <x:sheet xmlns:r="http://schemas.openxmlformats.org/officeDocument/2006/relationships" name="Execution Summary" sheetId="7" r:id="R664ae4ea6c2a45c1"/>
    <x:sheet xmlns:r="http://schemas.openxmlformats.org/officeDocument/2006/relationships" name="Sources" sheetId="8" r:id="R30cfda6cc1064965"/>
    <x:sheet xmlns:r="http://schemas.openxmlformats.org/officeDocument/2006/relationships" name="Read Me" sheetId="9" r:id="R60e732b75c06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8" xfId="0" applyNumberFormat="1" applyFont="1" applyFill="1" applyBorder="1"/>
    <x:xf numFmtId="200" fontId="0" fillId="0" borderId="1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7" xfId="0" applyNumberFormat="1" applyFont="1" applyFill="1" applyBorder="1"/>
    <x:xf numFmtId="0" fontId="2" fillId="3" borderId="10" xfId="0" applyNumberFormat="1" applyFont="1" applyFill="1" applyBorder="1"/>
    <x:xf numFmtId="0" fontId="2" fillId="3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5" xfId="0" applyNumberFormat="1" applyFont="1" applyFill="1" applyBorder="1"/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eb3c4f0a64864" /><Relationship Type="http://schemas.openxmlformats.org/officeDocument/2006/relationships/theme" Target="/xl/theme/theme1.xml" Id="Rb4ef976eb4e741c9" /><Relationship Type="http://schemas.openxmlformats.org/officeDocument/2006/relationships/sharedStrings" Target="/xl/sharedStrings.xml" Id="R1e963212b9174f4d" /><Relationship Type="http://schemas.openxmlformats.org/officeDocument/2006/relationships/worksheet" Target="/xl/worksheets/sheet1.xml" Id="R8af6cd0f372a4418" /><Relationship Type="http://schemas.openxmlformats.org/officeDocument/2006/relationships/worksheet" Target="/xl/worksheets/sheet2.xml" Id="R84e7c16053ea453c" /><Relationship Type="http://schemas.openxmlformats.org/officeDocument/2006/relationships/worksheet" Target="/xl/worksheets/sheet3.xml" Id="R15c7c2874c4a46dc" /><Relationship Type="http://schemas.openxmlformats.org/officeDocument/2006/relationships/worksheet" Target="/xl/worksheets/sheet4.xml" Id="R3b4ead6c54b24d3c" /><Relationship Type="http://schemas.openxmlformats.org/officeDocument/2006/relationships/worksheet" Target="/xl/worksheets/sheet5.xml" Id="R07da0a0f0b894e81" /><Relationship Type="http://schemas.openxmlformats.org/officeDocument/2006/relationships/worksheet" Target="/xl/worksheets/sheet6.xml" Id="R2192af49bfed4fd8" /><Relationship Type="http://schemas.openxmlformats.org/officeDocument/2006/relationships/worksheet" Target="/xl/worksheets/sheet7.xml" Id="R664ae4ea6c2a45c1" /><Relationship Type="http://schemas.openxmlformats.org/officeDocument/2006/relationships/worksheet" Target="/xl/worksheets/sheet8.xml" Id="R30cfda6cc1064965" /><Relationship Type="http://schemas.openxmlformats.org/officeDocument/2006/relationships/worksheet" Target="/xl/worksheets/sheet9.xml" Id="R60e732b75c0645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70" hidden="0" customWidth="1"/>
    <x:col min="4" max="4" width="12" hidden="0" customWidth="1"/>
  </x:cols>
  <x:sheetData>
    <x:row r="1">
      <x:c r="A1" s="12" t="str">
        <x:v>Requirement ID</x:v>
      </x:c>
      <x:c r="B1" s="13" t="str">
        <x:v>Module</x:v>
      </x:c>
      <x:c r="C1" s="13" t="str">
        <x:v>Requirement</x:v>
      </x:c>
      <x:c r="D1" s="14" t="str">
        <x:v>Priority</x:v>
      </x:c>
    </x:row>
    <x:row r="2">
      <x:c r="A2" s="29" t="str">
        <x:v>REQ-001</x:v>
      </x:c>
      <x:c r="B2" s="30" t="str">
        <x:v>Authentication</x:v>
      </x:c>
      <x:c r="C2" s="30" t="str">
        <x:v>Allow a registered user to log in with valid credentials.</x:v>
      </x:c>
      <x:c r="D2" s="31" t="str">
        <x:v>High</x:v>
      </x:c>
    </x:row>
    <x:row r="3">
      <x:c r="A3" s="29" t="str">
        <x:v>REQ-002</x:v>
      </x:c>
      <x:c r="B3" s="30" t="str">
        <x:v>Authentication</x:v>
      </x:c>
      <x:c r="C3" s="30" t="str">
        <x:v>Reject login attempts with invalid credentials.</x:v>
      </x:c>
      <x:c r="D3" s="31" t="str">
        <x:v>High</x:v>
      </x:c>
    </x:row>
    <x:row r="4">
      <x:c r="A4" s="29" t="str">
        <x:v>REQ-003</x:v>
      </x:c>
      <x:c r="B4" s="30" t="str">
        <x:v>Authentication</x:v>
      </x:c>
      <x:c r="C4" s="30" t="str">
        <x:v>Show a clear error for a locked-out account.</x:v>
      </x:c>
      <x:c r="D4" s="31" t="str">
        <x:v>High</x:v>
      </x:c>
    </x:row>
    <x:row r="5">
      <x:c r="A5" s="29" t="str">
        <x:v>REQ-004</x:v>
      </x:c>
      <x:c r="B5" s="30" t="str">
        <x:v>Authentication</x:v>
      </x:c>
      <x:c r="C5" s="30" t="str">
        <x:v>Allow an authenticated user to log out.</x:v>
      </x:c>
      <x:c r="D5" s="31" t="str">
        <x:v>High</x:v>
      </x:c>
    </x:row>
    <x:row r="6">
      <x:c r="A6" s="29" t="str">
        <x:v>REQ-005</x:v>
      </x:c>
      <x:c r="B6" s="30" t="str">
        <x:v>Authentication</x:v>
      </x:c>
      <x:c r="C6" s="30" t="str">
        <x:v>Prevent unauthenticated use of protected inventory pages.</x:v>
      </x:c>
      <x:c r="D6" s="31" t="str">
        <x:v>High</x:v>
      </x:c>
    </x:row>
    <x:row r="7">
      <x:c r="A7" s="29" t="str">
        <x:v>REQ-006</x:v>
      </x:c>
      <x:c r="B7" s="30" t="str">
        <x:v>Product Catalog</x:v>
      </x:c>
      <x:c r="C7" s="30" t="str">
        <x:v>Display product inventory after successful login.</x:v>
      </x:c>
      <x:c r="D7" s="31" t="str">
        <x:v>High</x:v>
      </x:c>
    </x:row>
    <x:row r="8">
      <x:c r="A8" s="29" t="str">
        <x:v>REQ-007</x:v>
      </x:c>
      <x:c r="B8" s="30" t="str">
        <x:v>Product Catalog</x:v>
      </x:c>
      <x:c r="C8" s="30" t="str">
        <x:v>Display product name, description, price, and image.</x:v>
      </x:c>
      <x:c r="D8" s="31" t="str">
        <x:v>Medium</x:v>
      </x:c>
    </x:row>
    <x:row r="9">
      <x:c r="A9" s="29" t="str">
        <x:v>REQ-008</x:v>
      </x:c>
      <x:c r="B9" s="30" t="str">
        <x:v>Product Catalog</x:v>
      </x:c>
      <x:c r="C9" s="30" t="str">
        <x:v>Allow opening a product detail page.</x:v>
      </x:c>
      <x:c r="D9" s="31" t="str">
        <x:v>Medium</x:v>
      </x:c>
    </x:row>
    <x:row r="10">
      <x:c r="A10" s="29" t="str">
        <x:v>REQ-009</x:v>
      </x:c>
      <x:c r="B10" s="30" t="str">
        <x:v>Product Catalog</x:v>
      </x:c>
      <x:c r="C10" s="30" t="str">
        <x:v>Support name sorting ascending and descending.</x:v>
      </x:c>
      <x:c r="D10" s="31" t="str">
        <x:v>Medium</x:v>
      </x:c>
    </x:row>
    <x:row r="11">
      <x:c r="A11" s="29" t="str">
        <x:v>REQ-010</x:v>
      </x:c>
      <x:c r="B11" s="30" t="str">
        <x:v>Product Catalog</x:v>
      </x:c>
      <x:c r="C11" s="30" t="str">
        <x:v>Support price sorting low-high and high-low.</x:v>
      </x:c>
      <x:c r="D11" s="31" t="str">
        <x:v>Medium</x:v>
      </x:c>
    </x:row>
    <x:row r="12">
      <x:c r="A12" s="29" t="str">
        <x:v>REQ-011</x:v>
      </x:c>
      <x:c r="B12" s="30" t="str">
        <x:v>Shopping Cart</x:v>
      </x:c>
      <x:c r="C12" s="30" t="str">
        <x:v>Allow adding a product to the cart.</x:v>
      </x:c>
      <x:c r="D12" s="31" t="str">
        <x:v>High</x:v>
      </x:c>
    </x:row>
    <x:row r="13">
      <x:c r="A13" s="29" t="str">
        <x:v>REQ-012</x:v>
      </x:c>
      <x:c r="B13" s="30" t="str">
        <x:v>Shopping Cart</x:v>
      </x:c>
      <x:c r="C13" s="30" t="str">
        <x:v>Allow adding multiple different products to the cart.</x:v>
      </x:c>
      <x:c r="D13" s="31" t="str">
        <x:v>High</x:v>
      </x:c>
    </x:row>
    <x:row r="14">
      <x:c r="A14" s="29" t="str">
        <x:v>REQ-013</x:v>
      </x:c>
      <x:c r="B14" s="30" t="str">
        <x:v>Shopping Cart</x:v>
      </x:c>
      <x:c r="C14" s="30" t="str">
        <x:v>Show a cart badge matching the number of added products.</x:v>
      </x:c>
      <x:c r="D14" s="31" t="str">
        <x:v>High</x:v>
      </x:c>
    </x:row>
    <x:row r="15">
      <x:c r="A15" s="29" t="str">
        <x:v>REQ-014</x:v>
      </x:c>
      <x:c r="B15" s="30" t="str">
        <x:v>Shopping Cart</x:v>
      </x:c>
      <x:c r="C15" s="30" t="str">
        <x:v>Allow removing a product from the cart.</x:v>
      </x:c>
      <x:c r="D15" s="31" t="str">
        <x:v>High</x:v>
      </x:c>
    </x:row>
    <x:row r="16">
      <x:c r="A16" s="29" t="str">
        <x:v>REQ-015</x:v>
      </x:c>
      <x:c r="B16" s="30" t="str">
        <x:v>Shopping Cart</x:v>
      </x:c>
      <x:c r="C16" s="30" t="str">
        <x:v>Preserve cart contents during navigation in the session.</x:v>
      </x:c>
      <x:c r="D16" s="31" t="str">
        <x:v>High</x:v>
      </x:c>
    </x:row>
    <x:row r="17">
      <x:c r="A17" s="29" t="str">
        <x:v>REQ-016</x:v>
      </x:c>
      <x:c r="B17" s="30" t="str">
        <x:v>Shopping Cart</x:v>
      </x:c>
      <x:c r="C17" s="30" t="str">
        <x:v>Show correct product name and price in the cart.</x:v>
      </x:c>
      <x:c r="D17" s="31" t="str">
        <x:v>High</x:v>
      </x:c>
    </x:row>
    <x:row r="18">
      <x:c r="A18" s="29" t="str">
        <x:v>REQ-017</x:v>
      </x:c>
      <x:c r="B18" s="30" t="str">
        <x:v>Checkout</x:v>
      </x:c>
      <x:c r="C18" s="30" t="str">
        <x:v>Allow checkout to start from the cart.</x:v>
      </x:c>
      <x:c r="D18" s="31" t="str">
        <x:v>High</x:v>
      </x:c>
    </x:row>
    <x:row r="19">
      <x:c r="A19" s="29" t="str">
        <x:v>REQ-018</x:v>
      </x:c>
      <x:c r="B19" s="30" t="str">
        <x:v>Checkout</x:v>
      </x:c>
      <x:c r="C19" s="30" t="str">
        <x:v>Require first name, last name, and postal code for checkout.</x:v>
      </x:c>
      <x:c r="D19" s="31" t="str">
        <x:v>High</x:v>
      </x:c>
    </x:row>
    <x:row r="20">
      <x:c r="A20" s="29" t="str">
        <x:v>REQ-019</x:v>
      </x:c>
      <x:c r="B20" s="30" t="str">
        <x:v>Checkout</x:v>
      </x:c>
      <x:c r="C20" s="30" t="str">
        <x:v>Show validation when required checkout information is missing.</x:v>
      </x:c>
      <x:c r="D20" s="31" t="str">
        <x:v>High</x:v>
      </x:c>
    </x:row>
    <x:row r="21">
      <x:c r="A21" s="29" t="str">
        <x:v>REQ-020</x:v>
      </x:c>
      <x:c r="B21" s="30" t="str">
        <x:v>Checkout</x:v>
      </x:c>
      <x:c r="C21" s="30" t="str">
        <x:v>Show selected products and prices in checkout overview.</x:v>
      </x:c>
      <x:c r="D21" s="31" t="str">
        <x:v>High</x:v>
      </x:c>
    </x:row>
    <x:row r="22">
      <x:c r="A22" s="29" t="str">
        <x:v>REQ-021</x:v>
      </x:c>
      <x:c r="B22" s="30" t="str">
        <x:v>Checkout</x:v>
      </x:c>
      <x:c r="C22" s="30" t="str">
        <x:v>Keep checkout item total, tax, and final total internally consistent.</x:v>
      </x:c>
      <x:c r="D22" s="31" t="str">
        <x:v>High</x:v>
      </x:c>
    </x:row>
    <x:row r="23">
      <x:c r="A23" s="29" t="str">
        <x:v>REQ-022</x:v>
      </x:c>
      <x:c r="B23" s="30" t="str">
        <x:v>Checkout</x:v>
      </x:c>
      <x:c r="C23" s="30" t="str">
        <x:v>Allow a valid checkout to finish with success confirmation.</x:v>
      </x:c>
      <x:c r="D23" s="31" t="str">
        <x:v>High</x:v>
      </x:c>
    </x:row>
    <x:row r="24">
      <x:c r="A24" s="29" t="str">
        <x:v>REQ-023</x:v>
      </x:c>
      <x:c r="B24" s="30" t="str">
        <x:v>Checkout</x:v>
      </x:c>
      <x:c r="C24" s="30" t="str">
        <x:v>Allow checkout cancellation without corrupting state.</x:v>
      </x:c>
      <x:c r="D24" s="31" t="str">
        <x:v>Medium</x:v>
      </x:c>
    </x:row>
    <x:row r="25">
      <x:c r="A25" s="29" t="str">
        <x:v>REQ-024</x:v>
      </x:c>
      <x:c r="B25" s="30" t="str">
        <x:v>Navigation</x:v>
      </x:c>
      <x:c r="C25" s="30" t="str">
        <x:v>Allow navigation back to product inventory.</x:v>
      </x:c>
      <x:c r="D25" s="31" t="str">
        <x:v>Medium</x:v>
      </x:c>
    </x:row>
    <x:row r="26">
      <x:c r="A26" s="29" t="str">
        <x:v>REQ-025</x:v>
      </x:c>
      <x:c r="B26" s="30" t="str">
        <x:v>Navigation</x:v>
      </x:c>
      <x:c r="C26" s="30" t="str">
        <x:v>Allow opening and closing the application menu.</x:v>
      </x:c>
      <x:c r="D26" s="31" t="str">
        <x:v>Low</x:v>
      </x:c>
    </x:row>
    <x:row r="27">
      <x:c r="A27" s="29" t="str">
        <x:v>REQ-026</x:v>
      </x:c>
      <x:c r="B27" s="30" t="str">
        <x:v>Usability</x:v>
      </x:c>
      <x:c r="C27" s="30" t="str">
        <x:v>Provide visible and understandable primary controls and errors.</x:v>
      </x:c>
      <x:c r="D27" s="31" t="str">
        <x:v>Medium</x:v>
      </x:c>
    </x:row>
    <x:row r="28">
      <x:c r="A28" s="29" t="str">
        <x:v>REQ-027</x:v>
      </x:c>
      <x:c r="B28" s="30" t="str">
        <x:v>Compatibility</x:v>
      </x:c>
      <x:c r="C28" s="30" t="str">
        <x:v>Support critical journey testing on Chromium, Firefox, and WebKit.</x:v>
      </x:c>
      <x:c r="D28" s="31" t="str">
        <x:v>Medium</x:v>
      </x:c>
    </x:row>
    <x:row r="29">
      <x:c r="A29" s="29" t="str">
        <x:v>REQ-028</x:v>
      </x:c>
      <x:c r="B29" s="30" t="str">
        <x:v>API Products</x:v>
      </x:c>
      <x:c r="C29" s="30" t="str">
        <x:v>Return a collection of products with identifiers and attributes.</x:v>
      </x:c>
      <x:c r="D29" s="31" t="str">
        <x:v>High</x:v>
      </x:c>
    </x:row>
    <x:row r="30">
      <x:c r="A30" s="29" t="str">
        <x:v>REQ-029</x:v>
      </x:c>
      <x:c r="B30" s="30" t="str">
        <x:v>API Products</x:v>
      </x:c>
      <x:c r="C30" s="30" t="str">
        <x:v>Return a single product for a valid identifier.</x:v>
      </x:c>
      <x:c r="D30" s="31" t="str">
        <x:v>High</x:v>
      </x:c>
    </x:row>
    <x:row r="31">
      <x:c r="A31" s="29" t="str">
        <x:v>REQ-030</x:v>
      </x:c>
      <x:c r="B31" s="30" t="str">
        <x:v>API Products</x:v>
      </x:c>
      <x:c r="C31" s="30" t="str">
        <x:v>Support documented product search, pagination, sorting, and categories.</x:v>
      </x:c>
      <x:c r="D31" s="31" t="str">
        <x:v>Medium</x:v>
      </x:c>
    </x:row>
    <x:row r="32">
      <x:c r="A32" s="29" t="str">
        <x:v>REQ-031</x:v>
      </x:c>
      <x:c r="B32" s="30" t="str">
        <x:v>API Products</x:v>
      </x:c>
      <x:c r="C32" s="30" t="str">
        <x:v>Return controlled error behavior for invalid/nonexistent product identifiers.</x:v>
      </x:c>
      <x:c r="D32" s="31" t="str">
        <x:v>Medium</x:v>
      </x:c>
    </x:row>
    <x:row r="33">
      <x:c r="A33" s="29" t="str">
        <x:v>REQ-032</x:v>
      </x:c>
      <x:c r="B33" s="30" t="str">
        <x:v>API Carts</x:v>
      </x:c>
      <x:c r="C33" s="30" t="str">
        <x:v>Return cart data including products, quantities, totals, and user.</x:v>
      </x:c>
      <x:c r="D33" s="31" t="str">
        <x:v>High</x:v>
      </x:c>
    </x:row>
    <x:row r="34">
      <x:c r="A34" s="29" t="str">
        <x:v>REQ-033</x:v>
      </x:c>
      <x:c r="B34" s="30" t="str">
        <x:v>API Carts</x:v>
      </x:c>
      <x:c r="C34" s="30" t="str">
        <x:v>Simulate adding a new cart and return its representation.</x:v>
      </x:c>
      <x:c r="D34" s="31" t="str">
        <x:v>High</x:v>
      </x:c>
    </x:row>
    <x:row r="35">
      <x:c r="A35" s="29" t="str">
        <x:v>REQ-034</x:v>
      </x:c>
      <x:c r="B35" s="30" t="str">
        <x:v>API Carts</x:v>
      </x:c>
      <x:c r="C35" s="30" t="str">
        <x:v>Support retrieving carts for a specific user.</x:v>
      </x:c>
      <x:c r="D35" s="31" t="str">
        <x:v>Medium</x:v>
      </x:c>
    </x:row>
    <x:row r="36">
      <x:c r="A36" s="32" t="str">
        <x:v>REQ-035</x:v>
      </x:c>
      <x:c r="B36" s="33" t="str">
        <x:v>Data Validation</x:v>
      </x:c>
      <x:c r="C36" s="33" t="str">
        <x:v>Support representative SQL validation of user/cart/order data.</x:v>
      </x:c>
      <x:c r="D36" s="34" t="str">
        <x:v>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68" hidden="0" customWidth="1"/>
    <x:col min="4" max="4" width="16" hidden="0" customWidth="1"/>
  </x:cols>
  <x:sheetData>
    <x:row r="1">
      <x:c r="A1" s="12" t="str">
        <x:v>Scenario ID</x:v>
      </x:c>
      <x:c r="B1" s="13" t="str">
        <x:v>Module</x:v>
      </x:c>
      <x:c r="C1" s="13" t="str">
        <x:v>Test Scenario</x:v>
      </x:c>
      <x:c r="D1" s="14" t="str">
        <x:v>Planning Status</x:v>
      </x:c>
    </x:row>
    <x:row r="2">
      <x:c r="A2" s="29" t="str">
        <x:v>TS-001</x:v>
      </x:c>
      <x:c r="B2" s="30" t="str">
        <x:v>Authentication</x:v>
      </x:c>
      <x:c r="C2" s="30" t="str">
        <x:v>Login with valid standard user credentials</x:v>
      </x:c>
      <x:c r="D2" s="31" t="str">
        <x:v>Planned</x:v>
      </x:c>
    </x:row>
    <x:row r="3">
      <x:c r="A3" s="29" t="str">
        <x:v>TS-002</x:v>
      </x:c>
      <x:c r="B3" s="30" t="str">
        <x:v>Authentication</x:v>
      </x:c>
      <x:c r="C3" s="30" t="str">
        <x:v>Login with invalid password</x:v>
      </x:c>
      <x:c r="D3" s="31" t="str">
        <x:v>Planned</x:v>
      </x:c>
    </x:row>
    <x:row r="4">
      <x:c r="A4" s="29" t="str">
        <x:v>TS-003</x:v>
      </x:c>
      <x:c r="B4" s="30" t="str">
        <x:v>Authentication</x:v>
      </x:c>
      <x:c r="C4" s="30" t="str">
        <x:v>Login with invalid username</x:v>
      </x:c>
      <x:c r="D4" s="31" t="str">
        <x:v>Planned</x:v>
      </x:c>
    </x:row>
    <x:row r="5">
      <x:c r="A5" s="29" t="str">
        <x:v>TS-004</x:v>
      </x:c>
      <x:c r="B5" s="30" t="str">
        <x:v>Authentication</x:v>
      </x:c>
      <x:c r="C5" s="30" t="str">
        <x:v>Login with both fields blank</x:v>
      </x:c>
      <x:c r="D5" s="31" t="str">
        <x:v>Planned</x:v>
      </x:c>
    </x:row>
    <x:row r="6">
      <x:c r="A6" s="29" t="str">
        <x:v>TS-005</x:v>
      </x:c>
      <x:c r="B6" s="30" t="str">
        <x:v>Authentication</x:v>
      </x:c>
      <x:c r="C6" s="30" t="str">
        <x:v>Login with username blank</x:v>
      </x:c>
      <x:c r="D6" s="31" t="str">
        <x:v>Planned</x:v>
      </x:c>
    </x:row>
    <x:row r="7">
      <x:c r="A7" s="29" t="str">
        <x:v>TS-006</x:v>
      </x:c>
      <x:c r="B7" s="30" t="str">
        <x:v>Authentication</x:v>
      </x:c>
      <x:c r="C7" s="30" t="str">
        <x:v>Login with password blank</x:v>
      </x:c>
      <x:c r="D7" s="31" t="str">
        <x:v>Planned</x:v>
      </x:c>
    </x:row>
    <x:row r="8">
      <x:c r="A8" s="29" t="str">
        <x:v>TS-007</x:v>
      </x:c>
      <x:c r="B8" s="30" t="str">
        <x:v>Authentication</x:v>
      </x:c>
      <x:c r="C8" s="30" t="str">
        <x:v>Locked-out user error</x:v>
      </x:c>
      <x:c r="D8" s="31" t="str">
        <x:v>Planned</x:v>
      </x:c>
    </x:row>
    <x:row r="9">
      <x:c r="A9" s="29" t="str">
        <x:v>TS-008</x:v>
      </x:c>
      <x:c r="B9" s="30" t="str">
        <x:v>Authentication</x:v>
      </x:c>
      <x:c r="C9" s="30" t="str">
        <x:v>Successful logout</x:v>
      </x:c>
      <x:c r="D9" s="31" t="str">
        <x:v>Planned</x:v>
      </x:c>
    </x:row>
    <x:row r="10">
      <x:c r="A10" s="29" t="str">
        <x:v>TS-009</x:v>
      </x:c>
      <x:c r="B10" s="30" t="str">
        <x:v>Authentication</x:v>
      </x:c>
      <x:c r="C10" s="30" t="str">
        <x:v>Protected inventory without authenticated session</x:v>
      </x:c>
      <x:c r="D10" s="31" t="str">
        <x:v>Planned</x:v>
      </x:c>
    </x:row>
    <x:row r="11">
      <x:c r="A11" s="29" t="str">
        <x:v>TS-010</x:v>
      </x:c>
      <x:c r="B11" s="30" t="str">
        <x:v>Product Catalog</x:v>
      </x:c>
      <x:c r="C11" s="30" t="str">
        <x:v>Inventory loads after login</x:v>
      </x:c>
      <x:c r="D11" s="31" t="str">
        <x:v>Planned</x:v>
      </x:c>
    </x:row>
    <x:row r="12">
      <x:c r="A12" s="29" t="str">
        <x:v>TS-011</x:v>
      </x:c>
      <x:c r="B12" s="30" t="str">
        <x:v>Product Catalog</x:v>
      </x:c>
      <x:c r="C12" s="30" t="str">
        <x:v>Product cards contain required information</x:v>
      </x:c>
      <x:c r="D12" s="31" t="str">
        <x:v>Planned</x:v>
      </x:c>
    </x:row>
    <x:row r="13">
      <x:c r="A13" s="29" t="str">
        <x:v>TS-012</x:v>
      </x:c>
      <x:c r="B13" s="30" t="str">
        <x:v>Product Catalog</x:v>
      </x:c>
      <x:c r="C13" s="30" t="str">
        <x:v>Open detail from product name</x:v>
      </x:c>
      <x:c r="D13" s="31" t="str">
        <x:v>Planned</x:v>
      </x:c>
    </x:row>
    <x:row r="14">
      <x:c r="A14" s="29" t="str">
        <x:v>TS-013</x:v>
      </x:c>
      <x:c r="B14" s="30" t="str">
        <x:v>Product Catalog</x:v>
      </x:c>
      <x:c r="C14" s="30" t="str">
        <x:v>Open detail from product image</x:v>
      </x:c>
      <x:c r="D14" s="31" t="str">
        <x:v>Planned</x:v>
      </x:c>
    </x:row>
    <x:row r="15">
      <x:c r="A15" s="29" t="str">
        <x:v>TS-014</x:v>
      </x:c>
      <x:c r="B15" s="30" t="str">
        <x:v>Product Catalog</x:v>
      </x:c>
      <x:c r="C15" s="30" t="str">
        <x:v>Back to Products navigation</x:v>
      </x:c>
      <x:c r="D15" s="31" t="str">
        <x:v>Planned</x:v>
      </x:c>
    </x:row>
    <x:row r="16">
      <x:c r="A16" s="29" t="str">
        <x:v>TS-015</x:v>
      </x:c>
      <x:c r="B16" s="30" t="str">
        <x:v>Product Catalog</x:v>
      </x:c>
      <x:c r="C16" s="30" t="str">
        <x:v>Sort name A-Z</x:v>
      </x:c>
      <x:c r="D16" s="31" t="str">
        <x:v>Planned</x:v>
      </x:c>
    </x:row>
    <x:row r="17">
      <x:c r="A17" s="29" t="str">
        <x:v>TS-016</x:v>
      </x:c>
      <x:c r="B17" s="30" t="str">
        <x:v>Product Catalog</x:v>
      </x:c>
      <x:c r="C17" s="30" t="str">
        <x:v>Sort name Z-A</x:v>
      </x:c>
      <x:c r="D17" s="31" t="str">
        <x:v>Planned</x:v>
      </x:c>
    </x:row>
    <x:row r="18">
      <x:c r="A18" s="29" t="str">
        <x:v>TS-017</x:v>
      </x:c>
      <x:c r="B18" s="30" t="str">
        <x:v>Product Catalog</x:v>
      </x:c>
      <x:c r="C18" s="30" t="str">
        <x:v>Sort price low-high</x:v>
      </x:c>
      <x:c r="D18" s="31" t="str">
        <x:v>Planned</x:v>
      </x:c>
    </x:row>
    <x:row r="19">
      <x:c r="A19" s="29" t="str">
        <x:v>TS-018</x:v>
      </x:c>
      <x:c r="B19" s="30" t="str">
        <x:v>Product Catalog</x:v>
      </x:c>
      <x:c r="C19" s="30" t="str">
        <x:v>Sort price high-low</x:v>
      </x:c>
      <x:c r="D19" s="31" t="str">
        <x:v>Planned</x:v>
      </x:c>
    </x:row>
    <x:row r="20">
      <x:c r="A20" s="29" t="str">
        <x:v>TS-019</x:v>
      </x:c>
      <x:c r="B20" s="30" t="str">
        <x:v>Product Catalog</x:v>
      </x:c>
      <x:c r="C20" s="30" t="str">
        <x:v>Repeated sort changes</x:v>
      </x:c>
      <x:c r="D20" s="31" t="str">
        <x:v>Planned</x:v>
      </x:c>
    </x:row>
    <x:row r="21">
      <x:c r="A21" s="29" t="str">
        <x:v>TS-020</x:v>
      </x:c>
      <x:c r="B21" s="30" t="str">
        <x:v>Product Catalog</x:v>
      </x:c>
      <x:c r="C21" s="30" t="str">
        <x:v>Consistent price currency format</x:v>
      </x:c>
      <x:c r="D21" s="31" t="str">
        <x:v>Planned</x:v>
      </x:c>
    </x:row>
    <x:row r="22">
      <x:c r="A22" s="29" t="str">
        <x:v>TS-021</x:v>
      </x:c>
      <x:c r="B22" s="30" t="str">
        <x:v>Shopping Cart</x:v>
      </x:c>
      <x:c r="C22" s="30" t="str">
        <x:v>Add one product updates badge</x:v>
      </x:c>
      <x:c r="D22" s="31" t="str">
        <x:v>Planned</x:v>
      </x:c>
    </x:row>
    <x:row r="23">
      <x:c r="A23" s="29" t="str">
        <x:v>TS-022</x:v>
      </x:c>
      <x:c r="B23" s="30" t="str">
        <x:v>Shopping Cart</x:v>
      </x:c>
      <x:c r="C23" s="30" t="str">
        <x:v>Add multiple products updates badge</x:v>
      </x:c>
      <x:c r="D23" s="31" t="str">
        <x:v>Planned</x:v>
      </x:c>
    </x:row>
    <x:row r="24">
      <x:c r="A24" s="29" t="str">
        <x:v>TS-023</x:v>
      </x:c>
      <x:c r="B24" s="30" t="str">
        <x:v>Shopping Cart</x:v>
      </x:c>
      <x:c r="C24" s="30" t="str">
        <x:v>Added product appears in cart</x:v>
      </x:c>
      <x:c r="D24" s="31" t="str">
        <x:v>Planned</x:v>
      </x:c>
    </x:row>
    <x:row r="25">
      <x:c r="A25" s="29" t="str">
        <x:v>TS-024</x:v>
      </x:c>
      <x:c r="B25" s="30" t="str">
        <x:v>Shopping Cart</x:v>
      </x:c>
      <x:c r="C25" s="30" t="str">
        <x:v>Multiple products appear in cart</x:v>
      </x:c>
      <x:c r="D25" s="31" t="str">
        <x:v>Planned</x:v>
      </x:c>
    </x:row>
    <x:row r="26">
      <x:c r="A26" s="29" t="str">
        <x:v>TS-025</x:v>
      </x:c>
      <x:c r="B26" s="30" t="str">
        <x:v>Shopping Cart</x:v>
      </x:c>
      <x:c r="C26" s="30" t="str">
        <x:v>Remove product from inventory</x:v>
      </x:c>
      <x:c r="D26" s="31" t="str">
        <x:v>Planned</x:v>
      </x:c>
    </x:row>
    <x:row r="27">
      <x:c r="A27" s="29" t="str">
        <x:v>TS-026</x:v>
      </x:c>
      <x:c r="B27" s="30" t="str">
        <x:v>Shopping Cart</x:v>
      </x:c>
      <x:c r="C27" s="30" t="str">
        <x:v>Remove product from cart</x:v>
      </x:c>
      <x:c r="D27" s="31" t="str">
        <x:v>Planned</x:v>
      </x:c>
    </x:row>
    <x:row r="28">
      <x:c r="A28" s="29" t="str">
        <x:v>TS-027</x:v>
      </x:c>
      <x:c r="B28" s="30" t="str">
        <x:v>Shopping Cart</x:v>
      </x:c>
      <x:c r="C28" s="30" t="str">
        <x:v>Cart persists through product detail navigation</x:v>
      </x:c>
      <x:c r="D28" s="31" t="str">
        <x:v>Planned</x:v>
      </x:c>
    </x:row>
    <x:row r="29">
      <x:c r="A29" s="29" t="str">
        <x:v>TS-028</x:v>
      </x:c>
      <x:c r="B29" s="30" t="str">
        <x:v>Shopping Cart</x:v>
      </x:c>
      <x:c r="C29" s="30" t="str">
        <x:v>Cart persists after Continue Shopping</x:v>
      </x:c>
      <x:c r="D29" s="31" t="str">
        <x:v>Planned</x:v>
      </x:c>
    </x:row>
    <x:row r="30">
      <x:c r="A30" s="29" t="str">
        <x:v>TS-029</x:v>
      </x:c>
      <x:c r="B30" s="30" t="str">
        <x:v>Shopping Cart</x:v>
      </x:c>
      <x:c r="C30" s="30" t="str">
        <x:v>Cart name matches inventory</x:v>
      </x:c>
      <x:c r="D30" s="31" t="str">
        <x:v>Planned</x:v>
      </x:c>
    </x:row>
    <x:row r="31">
      <x:c r="A31" s="29" t="str">
        <x:v>TS-030</x:v>
      </x:c>
      <x:c r="B31" s="30" t="str">
        <x:v>Shopping Cart</x:v>
      </x:c>
      <x:c r="C31" s="30" t="str">
        <x:v>Cart price matches inventory</x:v>
      </x:c>
      <x:c r="D31" s="31" t="str">
        <x:v>Planned</x:v>
      </x:c>
    </x:row>
    <x:row r="32">
      <x:c r="A32" s="29" t="str">
        <x:v>TS-031</x:v>
      </x:c>
      <x:c r="B32" s="30" t="str">
        <x:v>Shopping Cart</x:v>
      </x:c>
      <x:c r="C32" s="30" t="str">
        <x:v>Open empty cart</x:v>
      </x:c>
      <x:c r="D32" s="31" t="str">
        <x:v>Planned</x:v>
      </x:c>
    </x:row>
    <x:row r="33">
      <x:c r="A33" s="29" t="str">
        <x:v>TS-032</x:v>
      </x:c>
      <x:c r="B33" s="30" t="str">
        <x:v>Shopping Cart</x:v>
      </x:c>
      <x:c r="C33" s="30" t="str">
        <x:v>No badge when cart is empty</x:v>
      </x:c>
      <x:c r="D33" s="31" t="str">
        <x:v>Planned</x:v>
      </x:c>
    </x:row>
    <x:row r="34">
      <x:c r="A34" s="29" t="str">
        <x:v>TS-033</x:v>
      </x:c>
      <x:c r="B34" s="30" t="str">
        <x:v>Checkout</x:v>
      </x:c>
      <x:c r="C34" s="30" t="str">
        <x:v>Start checkout with item</x:v>
      </x:c>
      <x:c r="D34" s="31" t="str">
        <x:v>Planned</x:v>
      </x:c>
    </x:row>
    <x:row r="35">
      <x:c r="A35" s="29" t="str">
        <x:v>TS-034</x:v>
      </x:c>
      <x:c r="B35" s="30" t="str">
        <x:v>Checkout</x:v>
      </x:c>
      <x:c r="C35" s="30" t="str">
        <x:v>Start checkout with empty cart and document behavior</x:v>
      </x:c>
      <x:c r="D35" s="31" t="str">
        <x:v>Planned</x:v>
      </x:c>
    </x:row>
    <x:row r="36">
      <x:c r="A36" s="29" t="str">
        <x:v>TS-035</x:v>
      </x:c>
      <x:c r="B36" s="30" t="str">
        <x:v>Checkout</x:v>
      </x:c>
      <x:c r="C36" s="30" t="str">
        <x:v>Submit valid customer information</x:v>
      </x:c>
      <x:c r="D36" s="31" t="str">
        <x:v>Planned</x:v>
      </x:c>
    </x:row>
    <x:row r="37">
      <x:c r="A37" s="29" t="str">
        <x:v>TS-036</x:v>
      </x:c>
      <x:c r="B37" s="30" t="str">
        <x:v>Checkout</x:v>
      </x:c>
      <x:c r="C37" s="30" t="str">
        <x:v>First name required</x:v>
      </x:c>
      <x:c r="D37" s="31" t="str">
        <x:v>Planned</x:v>
      </x:c>
    </x:row>
    <x:row r="38">
      <x:c r="A38" s="29" t="str">
        <x:v>TS-037</x:v>
      </x:c>
      <x:c r="B38" s="30" t="str">
        <x:v>Checkout</x:v>
      </x:c>
      <x:c r="C38" s="30" t="str">
        <x:v>Last name required</x:v>
      </x:c>
      <x:c r="D38" s="31" t="str">
        <x:v>Planned</x:v>
      </x:c>
    </x:row>
    <x:row r="39">
      <x:c r="A39" s="29" t="str">
        <x:v>TS-038</x:v>
      </x:c>
      <x:c r="B39" s="30" t="str">
        <x:v>Checkout</x:v>
      </x:c>
      <x:c r="C39" s="30" t="str">
        <x:v>Postal code required</x:v>
      </x:c>
      <x:c r="D39" s="31" t="str">
        <x:v>Planned</x:v>
      </x:c>
    </x:row>
    <x:row r="40">
      <x:c r="A40" s="29" t="str">
        <x:v>TS-039</x:v>
      </x:c>
      <x:c r="B40" s="30" t="str">
        <x:v>Checkout</x:v>
      </x:c>
      <x:c r="C40" s="30" t="str">
        <x:v>All customer fields blank</x:v>
      </x:c>
      <x:c r="D40" s="31" t="str">
        <x:v>Planned</x:v>
      </x:c>
    </x:row>
    <x:row r="41">
      <x:c r="A41" s="29" t="str">
        <x:v>TS-040</x:v>
      </x:c>
      <x:c r="B41" s="30" t="str">
        <x:v>Checkout</x:v>
      </x:c>
      <x:c r="C41" s="30" t="str">
        <x:v>Overview shows selected product</x:v>
      </x:c>
      <x:c r="D41" s="31" t="str">
        <x:v>Planned</x:v>
      </x:c>
    </x:row>
    <x:row r="42">
      <x:c r="A42" s="29" t="str">
        <x:v>TS-041</x:v>
      </x:c>
      <x:c r="B42" s="30" t="str">
        <x:v>Checkout</x:v>
      </x:c>
      <x:c r="C42" s="30" t="str">
        <x:v>Overview item total visible</x:v>
      </x:c>
      <x:c r="D42" s="31" t="str">
        <x:v>Planned</x:v>
      </x:c>
    </x:row>
    <x:row r="43">
      <x:c r="A43" s="29" t="str">
        <x:v>TS-042</x:v>
      </x:c>
      <x:c r="B43" s="30" t="str">
        <x:v>Checkout</x:v>
      </x:c>
      <x:c r="C43" s="30" t="str">
        <x:v>Overview tax visible</x:v>
      </x:c>
      <x:c r="D43" s="31" t="str">
        <x:v>Planned</x:v>
      </x:c>
    </x:row>
    <x:row r="44">
      <x:c r="A44" s="29" t="str">
        <x:v>TS-043</x:v>
      </x:c>
      <x:c r="B44" s="30" t="str">
        <x:v>Checkout</x:v>
      </x:c>
      <x:c r="C44" s="30" t="str">
        <x:v>Overview total visible</x:v>
      </x:c>
      <x:c r="D44" s="31" t="str">
        <x:v>Planned</x:v>
      </x:c>
    </x:row>
    <x:row r="45">
      <x:c r="A45" s="29" t="str">
        <x:v>TS-044</x:v>
      </x:c>
      <x:c r="B45" s="30" t="str">
        <x:v>Checkout</x:v>
      </x:c>
      <x:c r="C45" s="30" t="str">
        <x:v>Total arithmetic is correct</x:v>
      </x:c>
      <x:c r="D45" s="31" t="str">
        <x:v>Planned</x:v>
      </x:c>
    </x:row>
    <x:row r="46">
      <x:c r="A46" s="29" t="str">
        <x:v>TS-045</x:v>
      </x:c>
      <x:c r="B46" s="30" t="str">
        <x:v>Checkout</x:v>
      </x:c>
      <x:c r="C46" s="30" t="str">
        <x:v>Finish completes order</x:v>
      </x:c>
      <x:c r="D46" s="31" t="str">
        <x:v>Planned</x:v>
      </x:c>
    </x:row>
    <x:row r="47">
      <x:c r="A47" s="29" t="str">
        <x:v>TS-046</x:v>
      </x:c>
      <x:c r="B47" s="30" t="str">
        <x:v>Checkout</x:v>
      </x:c>
      <x:c r="C47" s="30" t="str">
        <x:v>Confirmation content</x:v>
      </x:c>
      <x:c r="D47" s="31" t="str">
        <x:v>Planned</x:v>
      </x:c>
    </x:row>
    <x:row r="48">
      <x:c r="A48" s="29" t="str">
        <x:v>TS-047</x:v>
      </x:c>
      <x:c r="B48" s="30" t="str">
        <x:v>Checkout</x:v>
      </x:c>
      <x:c r="C48" s="30" t="str">
        <x:v>Back Home returns to inventory</x:v>
      </x:c>
      <x:c r="D48" s="31" t="str">
        <x:v>Planned</x:v>
      </x:c>
    </x:row>
    <x:row r="49">
      <x:c r="A49" s="29" t="str">
        <x:v>TS-048</x:v>
      </x:c>
      <x:c r="B49" s="30" t="str">
        <x:v>Checkout</x:v>
      </x:c>
      <x:c r="C49" s="30" t="str">
        <x:v>Cancel from information returns to cart</x:v>
      </x:c>
      <x:c r="D49" s="31" t="str">
        <x:v>Planned</x:v>
      </x:c>
    </x:row>
    <x:row r="50">
      <x:c r="A50" s="29" t="str">
        <x:v>TS-049</x:v>
      </x:c>
      <x:c r="B50" s="30" t="str">
        <x:v>Checkout</x:v>
      </x:c>
      <x:c r="C50" s="30" t="str">
        <x:v>Cancel from overview returns to inventory</x:v>
      </x:c>
      <x:c r="D50" s="31" t="str">
        <x:v>Planned</x:v>
      </x:c>
    </x:row>
    <x:row r="51">
      <x:c r="A51" s="29" t="str">
        <x:v>TS-050</x:v>
      </x:c>
      <x:c r="B51" s="30" t="str">
        <x:v>Navigation &amp; UX</x:v>
      </x:c>
      <x:c r="C51" s="30" t="str">
        <x:v>Open menu</x:v>
      </x:c>
      <x:c r="D51" s="31" t="str">
        <x:v>Planned</x:v>
      </x:c>
    </x:row>
    <x:row r="52">
      <x:c r="A52" s="29" t="str">
        <x:v>TS-051</x:v>
      </x:c>
      <x:c r="B52" s="30" t="str">
        <x:v>Navigation &amp; UX</x:v>
      </x:c>
      <x:c r="C52" s="30" t="str">
        <x:v>Close menu</x:v>
      </x:c>
      <x:c r="D52" s="31" t="str">
        <x:v>Planned</x:v>
      </x:c>
    </x:row>
    <x:row r="53">
      <x:c r="A53" s="29" t="str">
        <x:v>TS-052</x:v>
      </x:c>
      <x:c r="B53" s="30" t="str">
        <x:v>Navigation &amp; UX</x:v>
      </x:c>
      <x:c r="C53" s="30" t="str">
        <x:v>All Items navigation</x:v>
      </x:c>
      <x:c r="D53" s="31" t="str">
        <x:v>Planned</x:v>
      </x:c>
    </x:row>
    <x:row r="54">
      <x:c r="A54" s="29" t="str">
        <x:v>TS-053</x:v>
      </x:c>
      <x:c r="B54" s="30" t="str">
        <x:v>Navigation &amp; UX</x:v>
      </x:c>
      <x:c r="C54" s="30" t="str">
        <x:v>Cart icon navigation</x:v>
      </x:c>
      <x:c r="D54" s="31" t="str">
        <x:v>Planned</x:v>
      </x:c>
    </x:row>
    <x:row r="55">
      <x:c r="A55" s="29" t="str">
        <x:v>TS-054</x:v>
      </x:c>
      <x:c r="B55" s="30" t="str">
        <x:v>Navigation &amp; UX</x:v>
      </x:c>
      <x:c r="C55" s="30" t="str">
        <x:v>Browser back from cart</x:v>
      </x:c>
      <x:c r="D55" s="31" t="str">
        <x:v>Planned</x:v>
      </x:c>
    </x:row>
    <x:row r="56">
      <x:c r="A56" s="29" t="str">
        <x:v>TS-055</x:v>
      </x:c>
      <x:c r="B56" s="30" t="str">
        <x:v>Navigation &amp; UX</x:v>
      </x:c>
      <x:c r="C56" s="30" t="str">
        <x:v>Primary labels are visible</x:v>
      </x:c>
      <x:c r="D56" s="31" t="str">
        <x:v>Planned</x:v>
      </x:c>
    </x:row>
    <x:row r="57">
      <x:c r="A57" s="29" t="str">
        <x:v>TS-056</x:v>
      </x:c>
      <x:c r="B57" s="30" t="str">
        <x:v>Navigation &amp; UX</x:v>
      </x:c>
      <x:c r="C57" s="30" t="str">
        <x:v>Keyboard tab navigation on login</x:v>
      </x:c>
      <x:c r="D57" s="31" t="str">
        <x:v>Planned</x:v>
      </x:c>
    </x:row>
    <x:row r="58">
      <x:c r="A58" s="29" t="str">
        <x:v>TS-057</x:v>
      </x:c>
      <x:c r="B58" s="30" t="str">
        <x:v>API Products</x:v>
      </x:c>
      <x:c r="C58" s="30" t="str">
        <x:v>GET all products</x:v>
      </x:c>
      <x:c r="D58" s="31" t="str">
        <x:v>Planned</x:v>
      </x:c>
    </x:row>
    <x:row r="59">
      <x:c r="A59" s="29" t="str">
        <x:v>TS-058</x:v>
      </x:c>
      <x:c r="B59" s="30" t="str">
        <x:v>API Products</x:v>
      </x:c>
      <x:c r="C59" s="30" t="str">
        <x:v>Validate product collection fields</x:v>
      </x:c>
      <x:c r="D59" s="31" t="str">
        <x:v>Planned</x:v>
      </x:c>
    </x:row>
    <x:row r="60">
      <x:c r="A60" s="29" t="str">
        <x:v>TS-059</x:v>
      </x:c>
      <x:c r="B60" s="30" t="str">
        <x:v>API Products</x:v>
      </x:c>
      <x:c r="C60" s="30" t="str">
        <x:v>GET single valid product</x:v>
      </x:c>
      <x:c r="D60" s="31" t="str">
        <x:v>Planned</x:v>
      </x:c>
    </x:row>
    <x:row r="61">
      <x:c r="A61" s="29" t="str">
        <x:v>TS-060</x:v>
      </x:c>
      <x:c r="B61" s="30" t="str">
        <x:v>API Products</x:v>
      </x:c>
      <x:c r="C61" s="30" t="str">
        <x:v>GET nonexistent product</x:v>
      </x:c>
      <x:c r="D61" s="31" t="str">
        <x:v>Planned</x:v>
      </x:c>
    </x:row>
    <x:row r="62">
      <x:c r="A62" s="29" t="str">
        <x:v>TS-061</x:v>
      </x:c>
      <x:c r="B62" s="30" t="str">
        <x:v>API Products</x:v>
      </x:c>
      <x:c r="C62" s="30" t="str">
        <x:v>Search products</x:v>
      </x:c>
      <x:c r="D62" s="31" t="str">
        <x:v>Planned</x:v>
      </x:c>
    </x:row>
    <x:row r="63">
      <x:c r="A63" s="29" t="str">
        <x:v>TS-062</x:v>
      </x:c>
      <x:c r="B63" s="30" t="str">
        <x:v>API Products</x:v>
      </x:c>
      <x:c r="C63" s="30" t="str">
        <x:v>Search relevance</x:v>
      </x:c>
      <x:c r="D63" s="31" t="str">
        <x:v>Planned</x:v>
      </x:c>
    </x:row>
    <x:row r="64">
      <x:c r="A64" s="29" t="str">
        <x:v>TS-063</x:v>
      </x:c>
      <x:c r="B64" s="30" t="str">
        <x:v>API Products</x:v>
      </x:c>
      <x:c r="C64" s="30" t="str">
        <x:v>Limit pagination</x:v>
      </x:c>
      <x:c r="D64" s="31" t="str">
        <x:v>Planned</x:v>
      </x:c>
    </x:row>
    <x:row r="65">
      <x:c r="A65" s="29" t="str">
        <x:v>TS-064</x:v>
      </x:c>
      <x:c r="B65" s="30" t="str">
        <x:v>API Products</x:v>
      </x:c>
      <x:c r="C65" s="30" t="str">
        <x:v>Skip pagination</x:v>
      </x:c>
      <x:c r="D65" s="31" t="str">
        <x:v>Planned</x:v>
      </x:c>
    </x:row>
    <x:row r="66">
      <x:c r="A66" s="29" t="str">
        <x:v>TS-065</x:v>
      </x:c>
      <x:c r="B66" s="30" t="str">
        <x:v>API Products</x:v>
      </x:c>
      <x:c r="C66" s="30" t="str">
        <x:v>Sort products</x:v>
      </x:c>
      <x:c r="D66" s="31" t="str">
        <x:v>Planned</x:v>
      </x:c>
    </x:row>
    <x:row r="67">
      <x:c r="A67" s="29" t="str">
        <x:v>TS-066</x:v>
      </x:c>
      <x:c r="B67" s="30" t="str">
        <x:v>API Products</x:v>
      </x:c>
      <x:c r="C67" s="30" t="str">
        <x:v>Get categories</x:v>
      </x:c>
      <x:c r="D67" s="31" t="str">
        <x:v>Planned</x:v>
      </x:c>
    </x:row>
    <x:row r="68">
      <x:c r="A68" s="29" t="str">
        <x:v>TS-067</x:v>
      </x:c>
      <x:c r="B68" s="30" t="str">
        <x:v>API Carts</x:v>
      </x:c>
      <x:c r="C68" s="30" t="str">
        <x:v>GET all carts</x:v>
      </x:c>
      <x:c r="D68" s="31" t="str">
        <x:v>Planned</x:v>
      </x:c>
    </x:row>
    <x:row r="69">
      <x:c r="A69" s="29" t="str">
        <x:v>TS-068</x:v>
      </x:c>
      <x:c r="B69" s="30" t="str">
        <x:v>API Carts</x:v>
      </x:c>
      <x:c r="C69" s="30" t="str">
        <x:v>Validate cart collection fields</x:v>
      </x:c>
      <x:c r="D69" s="31" t="str">
        <x:v>Planned</x:v>
      </x:c>
    </x:row>
    <x:row r="70">
      <x:c r="A70" s="29" t="str">
        <x:v>TS-069</x:v>
      </x:c>
      <x:c r="B70" s="30" t="str">
        <x:v>API Carts</x:v>
      </x:c>
      <x:c r="C70" s="30" t="str">
        <x:v>GET single valid cart</x:v>
      </x:c>
      <x:c r="D70" s="31" t="str">
        <x:v>Planned</x:v>
      </x:c>
    </x:row>
    <x:row r="71">
      <x:c r="A71" s="29" t="str">
        <x:v>TS-070</x:v>
      </x:c>
      <x:c r="B71" s="30" t="str">
        <x:v>API Carts</x:v>
      </x:c>
      <x:c r="C71" s="30" t="str">
        <x:v>GET carts by user</x:v>
      </x:c>
      <x:c r="D71" s="31" t="str">
        <x:v>Planned</x:v>
      </x:c>
    </x:row>
    <x:row r="72">
      <x:c r="A72" s="29" t="str">
        <x:v>TS-071</x:v>
      </x:c>
      <x:c r="B72" s="30" t="str">
        <x:v>API Carts</x:v>
      </x:c>
      <x:c r="C72" s="30" t="str">
        <x:v>Add simulated cart</x:v>
      </x:c>
      <x:c r="D72" s="31" t="str">
        <x:v>Planned</x:v>
      </x:c>
    </x:row>
    <x:row r="73">
      <x:c r="A73" s="29" t="str">
        <x:v>TS-072</x:v>
      </x:c>
      <x:c r="B73" s="30" t="str">
        <x:v>API Carts</x:v>
      </x:c>
      <x:c r="C73" s="30" t="str">
        <x:v>Added cart user ID</x:v>
      </x:c>
      <x:c r="D73" s="31" t="str">
        <x:v>Planned</x:v>
      </x:c>
    </x:row>
    <x:row r="74">
      <x:c r="A74" s="29" t="str">
        <x:v>TS-073</x:v>
      </x:c>
      <x:c r="B74" s="30" t="str">
        <x:v>API Carts</x:v>
      </x:c>
      <x:c r="C74" s="30" t="str">
        <x:v>Added cart products</x:v>
      </x:c>
      <x:c r="D74" s="31" t="str">
        <x:v>Planned</x:v>
      </x:c>
    </x:row>
    <x:row r="75">
      <x:c r="A75" s="29" t="str">
        <x:v>TS-074</x:v>
      </x:c>
      <x:c r="B75" s="30" t="str">
        <x:v>API Carts</x:v>
      </x:c>
      <x:c r="C75" s="30" t="str">
        <x:v>Invalid cart identifier</x:v>
      </x:c>
      <x:c r="D75" s="31" t="str">
        <x:v>Planned</x:v>
      </x:c>
    </x:row>
    <x:row r="76">
      <x:c r="A76" s="29" t="str">
        <x:v>TS-075</x:v>
      </x:c>
      <x:c r="B76" s="30" t="str">
        <x:v>Database Validation</x:v>
      </x:c>
      <x:c r="C76" s="30" t="str">
        <x:v>Lookup user by email</x:v>
      </x:c>
      <x:c r="D76" s="31" t="str">
        <x:v>Planned</x:v>
      </x:c>
    </x:row>
    <x:row r="77">
      <x:c r="A77" s="29" t="str">
        <x:v>TS-076</x:v>
      </x:c>
      <x:c r="B77" s="30" t="str">
        <x:v>Database Validation</x:v>
      </x:c>
      <x:c r="C77" s="30" t="str">
        <x:v>Join cart items with products</x:v>
      </x:c>
      <x:c r="D77" s="31" t="str">
        <x:v>Planned</x:v>
      </x:c>
    </x:row>
    <x:row r="78">
      <x:c r="A78" s="29" t="str">
        <x:v>TS-077</x:v>
      </x:c>
      <x:c r="B78" s="30" t="str">
        <x:v>Database Validation</x:v>
      </x:c>
      <x:c r="C78" s="30" t="str">
        <x:v>Recalculate order subtotal</x:v>
      </x:c>
      <x:c r="D78" s="31" t="str">
        <x:v>Planned</x:v>
      </x:c>
    </x:row>
    <x:row r="79">
      <x:c r="A79" s="29" t="str">
        <x:v>TS-078</x:v>
      </x:c>
      <x:c r="B79" s="30" t="str">
        <x:v>Database Validation</x:v>
      </x:c>
      <x:c r="C79" s="30" t="str">
        <x:v>Detect duplicate emails</x:v>
      </x:c>
      <x:c r="D79" s="31" t="str">
        <x:v>Planned</x:v>
      </x:c>
    </x:row>
    <x:row r="80">
      <x:c r="A80" s="29" t="str">
        <x:v>TS-079</x:v>
      </x:c>
      <x:c r="B80" s="30" t="str">
        <x:v>Database Validation</x:v>
      </x:c>
      <x:c r="C80" s="30" t="str">
        <x:v>Detect orphan cart items</x:v>
      </x:c>
      <x:c r="D80" s="31" t="str">
        <x:v>Planned</x:v>
      </x:c>
    </x:row>
    <x:row r="81">
      <x:c r="A81" s="32" t="str">
        <x:v>TS-080</x:v>
      </x:c>
      <x:c r="B81" s="33" t="str">
        <x:v>Database Validation</x:v>
      </x:c>
      <x:c r="C81" s="33" t="str">
        <x:v>Check product stock sanity</x:v>
      </x:c>
      <x:c r="D81" s="34" t="str">
        <x:v>Planned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42" hidden="0" customWidth="1"/>
    <x:col min="5" max="5" width="35" hidden="0" customWidth="1"/>
    <x:col min="6" max="6" width="48" hidden="0" customWidth="1"/>
    <x:col min="7" max="7" width="24" hidden="0" customWidth="1"/>
    <x:col min="8" max="8" width="48" hidden="0" customWidth="1"/>
    <x:col min="9" max="9" width="12" hidden="0" customWidth="1"/>
    <x:col min="10" max="10" width="10" hidden="0" customWidth="1"/>
    <x:col min="11" max="11" width="18" hidden="0" customWidth="1"/>
    <x:col min="12" max="12" width="30" hidden="0" customWidth="1"/>
  </x:cols>
  <x:sheetData>
    <x:row r="1">
      <x:c r="A1" s="12" t="str">
        <x:v>Test Case ID</x:v>
      </x:c>
      <x:c r="B1" s="13" t="str">
        <x:v>Requirement ID</x:v>
      </x:c>
      <x:c r="C1" s="13" t="str">
        <x:v>Module</x:v>
      </x:c>
      <x:c r="D1" s="13" t="str">
        <x:v>Test Case</x:v>
      </x:c>
      <x:c r="E1" s="13" t="str">
        <x:v>Preconditions</x:v>
      </x:c>
      <x:c r="F1" s="13" t="str">
        <x:v>Test Steps</x:v>
      </x:c>
      <x:c r="G1" s="13" t="str">
        <x:v>Test Data</x:v>
      </x:c>
      <x:c r="H1" s="13" t="str">
        <x:v>Expected Result</x:v>
      </x:c>
      <x:c r="I1" s="13" t="str">
        <x:v>Status</x:v>
      </x:c>
      <x:c r="J1" s="13" t="str">
        <x:v>Priority</x:v>
      </x:c>
      <x:c r="K1" s="13" t="str">
        <x:v>Test Type</x:v>
      </x:c>
      <x:c r="L1" s="14" t="str">
        <x:v>Remarks</x:v>
      </x:c>
    </x:row>
    <x:row r="2">
      <x:c r="A2" s="29" t="str">
        <x:v>TC-001</x:v>
      </x:c>
      <x:c r="B2" s="30" t="str">
        <x:v>REQ-001</x:v>
      </x:c>
      <x:c r="C2" s="30" t="str">
        <x:v>Authentication</x:v>
      </x:c>
      <x:c r="D2" s="30" t="str">
        <x:v>Login with valid standard user credentials</x:v>
      </x:c>
      <x:c r="E2" s="30" t="str">
        <x:v>Login page is available</x:v>
      </x:c>
      <x:c r="F2" s="30" t="str">
        <x:v>1. Open login page
2. Execute: Login with valid standard user credentials
3. Observe authentication result</x:v>
      </x:c>
      <x:c r="G2" s="30" t="str">
        <x:v>Configured demo credentials / negative data</x:v>
      </x:c>
      <x:c r="H2" s="30" t="str">
        <x:v>The authentication result matches the scenario and the application remains stable.</x:v>
      </x:c>
      <x:c r="I2" s="30" t="str">
        <x:v>Not Run</x:v>
      </x:c>
      <x:c r="J2" s="30" t="str">
        <x:v>High</x:v>
      </x:c>
      <x:c r="K2" s="30" t="str">
        <x:v>Functional</x:v>
      </x:c>
      <x:c r="L2" s="31" t="str"/>
    </x:row>
    <x:row r="3">
      <x:c r="A3" s="29" t="str">
        <x:v>TC-002</x:v>
      </x:c>
      <x:c r="B3" s="30" t="str">
        <x:v>REQ-002</x:v>
      </x:c>
      <x:c r="C3" s="30" t="str">
        <x:v>Authentication</x:v>
      </x:c>
      <x:c r="D3" s="30" t="str">
        <x:v>Login with invalid password</x:v>
      </x:c>
      <x:c r="E3" s="30" t="str">
        <x:v>Login page is available</x:v>
      </x:c>
      <x:c r="F3" s="30" t="str">
        <x:v>1. Open login page
2. Execute: Login with invalid password
3. Observe authentication result</x:v>
      </x:c>
      <x:c r="G3" s="30" t="str">
        <x:v>Configured demo credentials / negative data</x:v>
      </x:c>
      <x:c r="H3" s="30" t="str">
        <x:v>The authentication result matches the scenario and the application remains stable.</x:v>
      </x:c>
      <x:c r="I3" s="30" t="str">
        <x:v>Not Run</x:v>
      </x:c>
      <x:c r="J3" s="30" t="str">
        <x:v>High</x:v>
      </x:c>
      <x:c r="K3" s="30" t="str">
        <x:v>Functional</x:v>
      </x:c>
      <x:c r="L3" s="31" t="str"/>
    </x:row>
    <x:row r="4">
      <x:c r="A4" s="29" t="str">
        <x:v>TC-003</x:v>
      </x:c>
      <x:c r="B4" s="30" t="str">
        <x:v>REQ-002</x:v>
      </x:c>
      <x:c r="C4" s="30" t="str">
        <x:v>Authentication</x:v>
      </x:c>
      <x:c r="D4" s="30" t="str">
        <x:v>Login with invalid username</x:v>
      </x:c>
      <x:c r="E4" s="30" t="str">
        <x:v>Login page is available</x:v>
      </x:c>
      <x:c r="F4" s="30" t="str">
        <x:v>1. Open login page
2. Execute: Login with invalid username
3. Observe authentication result</x:v>
      </x:c>
      <x:c r="G4" s="30" t="str">
        <x:v>Configured demo credentials / negative data</x:v>
      </x:c>
      <x:c r="H4" s="30" t="str">
        <x:v>The authentication result matches the scenario and the application remains stable.</x:v>
      </x:c>
      <x:c r="I4" s="30" t="str">
        <x:v>Not Run</x:v>
      </x:c>
      <x:c r="J4" s="30" t="str">
        <x:v>High</x:v>
      </x:c>
      <x:c r="K4" s="30" t="str">
        <x:v>Functional</x:v>
      </x:c>
      <x:c r="L4" s="31" t="str"/>
    </x:row>
    <x:row r="5">
      <x:c r="A5" s="29" t="str">
        <x:v>TC-004</x:v>
      </x:c>
      <x:c r="B5" s="30" t="str">
        <x:v>REQ-002</x:v>
      </x:c>
      <x:c r="C5" s="30" t="str">
        <x:v>Authentication</x:v>
      </x:c>
      <x:c r="D5" s="30" t="str">
        <x:v>Login with both fields blank</x:v>
      </x:c>
      <x:c r="E5" s="30" t="str">
        <x:v>Login page is available</x:v>
      </x:c>
      <x:c r="F5" s="30" t="str">
        <x:v>1. Open login page
2. Execute: Login with both fields blank
3. Observe authentication result</x:v>
      </x:c>
      <x:c r="G5" s="30" t="str">
        <x:v>Configured demo credentials / negative data</x:v>
      </x:c>
      <x:c r="H5" s="30" t="str">
        <x:v>The authentication result matches the scenario and the application remains stable.</x:v>
      </x:c>
      <x:c r="I5" s="30" t="str">
        <x:v>Not Run</x:v>
      </x:c>
      <x:c r="J5" s="30" t="str">
        <x:v>High</x:v>
      </x:c>
      <x:c r="K5" s="30" t="str">
        <x:v>Functional</x:v>
      </x:c>
      <x:c r="L5" s="31" t="str"/>
    </x:row>
    <x:row r="6">
      <x:c r="A6" s="29" t="str">
        <x:v>TC-005</x:v>
      </x:c>
      <x:c r="B6" s="30" t="str">
        <x:v>REQ-002</x:v>
      </x:c>
      <x:c r="C6" s="30" t="str">
        <x:v>Authentication</x:v>
      </x:c>
      <x:c r="D6" s="30" t="str">
        <x:v>Login with username blank</x:v>
      </x:c>
      <x:c r="E6" s="30" t="str">
        <x:v>Login page is available</x:v>
      </x:c>
      <x:c r="F6" s="30" t="str">
        <x:v>1. Open login page
2. Execute: Login with username blank
3. Observe authentication result</x:v>
      </x:c>
      <x:c r="G6" s="30" t="str">
        <x:v>Configured demo credentials / negative data</x:v>
      </x:c>
      <x:c r="H6" s="30" t="str">
        <x:v>The authentication result matches the scenario and the application remains stable.</x:v>
      </x:c>
      <x:c r="I6" s="30" t="str">
        <x:v>Not Run</x:v>
      </x:c>
      <x:c r="J6" s="30" t="str">
        <x:v>High</x:v>
      </x:c>
      <x:c r="K6" s="30" t="str">
        <x:v>Functional</x:v>
      </x:c>
      <x:c r="L6" s="31" t="str"/>
    </x:row>
    <x:row r="7">
      <x:c r="A7" s="29" t="str">
        <x:v>TC-006</x:v>
      </x:c>
      <x:c r="B7" s="30" t="str">
        <x:v>REQ-002</x:v>
      </x:c>
      <x:c r="C7" s="30" t="str">
        <x:v>Authentication</x:v>
      </x:c>
      <x:c r="D7" s="30" t="str">
        <x:v>Login with password blank</x:v>
      </x:c>
      <x:c r="E7" s="30" t="str">
        <x:v>Login page is available</x:v>
      </x:c>
      <x:c r="F7" s="30" t="str">
        <x:v>1. Open login page
2. Execute: Login with password blank
3. Observe authentication result</x:v>
      </x:c>
      <x:c r="G7" s="30" t="str">
        <x:v>Configured demo credentials / negative data</x:v>
      </x:c>
      <x:c r="H7" s="30" t="str">
        <x:v>The authentication result matches the scenario and the application remains stable.</x:v>
      </x:c>
      <x:c r="I7" s="30" t="str">
        <x:v>Not Run</x:v>
      </x:c>
      <x:c r="J7" s="30" t="str">
        <x:v>High</x:v>
      </x:c>
      <x:c r="K7" s="30" t="str">
        <x:v>Functional</x:v>
      </x:c>
      <x:c r="L7" s="31" t="str"/>
    </x:row>
    <x:row r="8">
      <x:c r="A8" s="29" t="str">
        <x:v>TC-007</x:v>
      </x:c>
      <x:c r="B8" s="30" t="str">
        <x:v>REQ-003</x:v>
      </x:c>
      <x:c r="C8" s="30" t="str">
        <x:v>Authentication</x:v>
      </x:c>
      <x:c r="D8" s="30" t="str">
        <x:v>Locked-out user error</x:v>
      </x:c>
      <x:c r="E8" s="30" t="str">
        <x:v>Login page is available</x:v>
      </x:c>
      <x:c r="F8" s="30" t="str">
        <x:v>1. Open login page
2. Execute: Locked-out user error
3. Observe authentication result</x:v>
      </x:c>
      <x:c r="G8" s="30" t="str">
        <x:v>Configured demo credentials / negative data</x:v>
      </x:c>
      <x:c r="H8" s="30" t="str">
        <x:v>The authentication result matches the scenario and the application remains stable.</x:v>
      </x:c>
      <x:c r="I8" s="30" t="str">
        <x:v>Not Run</x:v>
      </x:c>
      <x:c r="J8" s="30" t="str">
        <x:v>High</x:v>
      </x:c>
      <x:c r="K8" s="30" t="str">
        <x:v>Functional</x:v>
      </x:c>
      <x:c r="L8" s="31" t="str"/>
    </x:row>
    <x:row r="9">
      <x:c r="A9" s="29" t="str">
        <x:v>TC-008</x:v>
      </x:c>
      <x:c r="B9" s="30" t="str">
        <x:v>REQ-004</x:v>
      </x:c>
      <x:c r="C9" s="30" t="str">
        <x:v>Authentication</x:v>
      </x:c>
      <x:c r="D9" s="30" t="str">
        <x:v>Successful logout</x:v>
      </x:c>
      <x:c r="E9" s="30" t="str">
        <x:v>Login page is available</x:v>
      </x:c>
      <x:c r="F9" s="30" t="str">
        <x:v>1. Open login page
2. Execute: Successful logout
3. Observe authentication result</x:v>
      </x:c>
      <x:c r="G9" s="30" t="str">
        <x:v>Configured demo credentials / negative data</x:v>
      </x:c>
      <x:c r="H9" s="30" t="str">
        <x:v>The authentication result matches the scenario and the application remains stable.</x:v>
      </x:c>
      <x:c r="I9" s="30" t="str">
        <x:v>Not Run</x:v>
      </x:c>
      <x:c r="J9" s="30" t="str">
        <x:v>High</x:v>
      </x:c>
      <x:c r="K9" s="30" t="str">
        <x:v>Functional</x:v>
      </x:c>
      <x:c r="L9" s="31" t="str"/>
    </x:row>
    <x:row r="10">
      <x:c r="A10" s="29" t="str">
        <x:v>TC-009</x:v>
      </x:c>
      <x:c r="B10" s="30" t="str">
        <x:v>REQ-005</x:v>
      </x:c>
      <x:c r="C10" s="30" t="str">
        <x:v>Authentication</x:v>
      </x:c>
      <x:c r="D10" s="30" t="str">
        <x:v>Protected inventory without authenticated session</x:v>
      </x:c>
      <x:c r="E10" s="30" t="str">
        <x:v>Login page is available</x:v>
      </x:c>
      <x:c r="F10" s="30" t="str">
        <x:v>1. Open login page
2. Execute: Protected inventory without authenticated session
3. Observe authentication result</x:v>
      </x:c>
      <x:c r="G10" s="30" t="str">
        <x:v>Configured demo credentials / negative data</x:v>
      </x:c>
      <x:c r="H10" s="30" t="str">
        <x:v>The authentication result matches the scenario and the application remains stable.</x:v>
      </x:c>
      <x:c r="I10" s="30" t="str">
        <x:v>Not Run</x:v>
      </x:c>
      <x:c r="J10" s="30" t="str">
        <x:v>High</x:v>
      </x:c>
      <x:c r="K10" s="30" t="str">
        <x:v>Functional</x:v>
      </x:c>
      <x:c r="L10" s="31" t="str"/>
    </x:row>
    <x:row r="11">
      <x:c r="A11" s="29" t="str">
        <x:v>TC-010</x:v>
      </x:c>
      <x:c r="B11" s="30" t="str">
        <x:v>REQ-006</x:v>
      </x:c>
      <x:c r="C11" s="30" t="str">
        <x:v>Product Catalog</x:v>
      </x:c>
      <x:c r="D11" s="30" t="str">
        <x:v>Inventory loads after login</x:v>
      </x:c>
      <x:c r="E11" s="30" t="str">
        <x:v>User is logged in</x:v>
      </x:c>
      <x:c r="F11" s="30" t="str">
        <x:v>1. Open inventory
2. Execute: Inventory loads after login
3. Compare visible product state</x:v>
      </x:c>
      <x:c r="G11" s="30" t="str">
        <x:v>Visible products</x:v>
      </x:c>
      <x:c r="H11" s="30" t="str">
        <x:v>Catalog behavior and displayed data match the scenario.</x:v>
      </x:c>
      <x:c r="I11" s="30" t="str">
        <x:v>Not Run</x:v>
      </x:c>
      <x:c r="J11" s="30" t="str">
        <x:v>Medium</x:v>
      </x:c>
      <x:c r="K11" s="30" t="str">
        <x:v>Functional</x:v>
      </x:c>
      <x:c r="L11" s="31" t="str"/>
    </x:row>
    <x:row r="12">
      <x:c r="A12" s="29" t="str">
        <x:v>TC-011</x:v>
      </x:c>
      <x:c r="B12" s="30" t="str">
        <x:v>REQ-007</x:v>
      </x:c>
      <x:c r="C12" s="30" t="str">
        <x:v>Product Catalog</x:v>
      </x:c>
      <x:c r="D12" s="30" t="str">
        <x:v>Product cards contain required information</x:v>
      </x:c>
      <x:c r="E12" s="30" t="str">
        <x:v>User is logged in</x:v>
      </x:c>
      <x:c r="F12" s="30" t="str">
        <x:v>1. Open inventory
2. Execute: Product cards contain required information
3. Compare visible product state</x:v>
      </x:c>
      <x:c r="G12" s="30" t="str">
        <x:v>Visible products</x:v>
      </x:c>
      <x:c r="H12" s="30" t="str">
        <x:v>Catalog behavior and displayed data match the scenario.</x:v>
      </x:c>
      <x:c r="I12" s="30" t="str">
        <x:v>Not Run</x:v>
      </x:c>
      <x:c r="J12" s="30" t="str">
        <x:v>Medium</x:v>
      </x:c>
      <x:c r="K12" s="30" t="str">
        <x:v>Functional</x:v>
      </x:c>
      <x:c r="L12" s="31" t="str"/>
    </x:row>
    <x:row r="13">
      <x:c r="A13" s="29" t="str">
        <x:v>TC-012</x:v>
      </x:c>
      <x:c r="B13" s="30" t="str">
        <x:v>REQ-008</x:v>
      </x:c>
      <x:c r="C13" s="30" t="str">
        <x:v>Product Catalog</x:v>
      </x:c>
      <x:c r="D13" s="30" t="str">
        <x:v>Open detail from product name</x:v>
      </x:c>
      <x:c r="E13" s="30" t="str">
        <x:v>User is logged in</x:v>
      </x:c>
      <x:c r="F13" s="30" t="str">
        <x:v>1. Open inventory
2. Execute: Open detail from product name
3. Compare visible product state</x:v>
      </x:c>
      <x:c r="G13" s="30" t="str">
        <x:v>Visible products</x:v>
      </x:c>
      <x:c r="H13" s="30" t="str">
        <x:v>Catalog behavior and displayed data match the scenario.</x:v>
      </x:c>
      <x:c r="I13" s="30" t="str">
        <x:v>Not Run</x:v>
      </x:c>
      <x:c r="J13" s="30" t="str">
        <x:v>Medium</x:v>
      </x:c>
      <x:c r="K13" s="30" t="str">
        <x:v>Functional</x:v>
      </x:c>
      <x:c r="L13" s="31" t="str"/>
    </x:row>
    <x:row r="14">
      <x:c r="A14" s="29" t="str">
        <x:v>TC-013</x:v>
      </x:c>
      <x:c r="B14" s="30" t="str">
        <x:v>REQ-008</x:v>
      </x:c>
      <x:c r="C14" s="30" t="str">
        <x:v>Product Catalog</x:v>
      </x:c>
      <x:c r="D14" s="30" t="str">
        <x:v>Open detail from product image</x:v>
      </x:c>
      <x:c r="E14" s="30" t="str">
        <x:v>User is logged in</x:v>
      </x:c>
      <x:c r="F14" s="30" t="str">
        <x:v>1. Open inventory
2. Execute: Open detail from product image
3. Compare visible product state</x:v>
      </x:c>
      <x:c r="G14" s="30" t="str">
        <x:v>Visible products</x:v>
      </x:c>
      <x:c r="H14" s="30" t="str">
        <x:v>Catalog behavior and displayed data match the scenario.</x:v>
      </x:c>
      <x:c r="I14" s="30" t="str">
        <x:v>Not Run</x:v>
      </x:c>
      <x:c r="J14" s="30" t="str">
        <x:v>Medium</x:v>
      </x:c>
      <x:c r="K14" s="30" t="str">
        <x:v>Functional</x:v>
      </x:c>
      <x:c r="L14" s="31" t="str"/>
    </x:row>
    <x:row r="15">
      <x:c r="A15" s="29" t="str">
        <x:v>TC-014</x:v>
      </x:c>
      <x:c r="B15" s="30" t="str">
        <x:v>REQ-008</x:v>
      </x:c>
      <x:c r="C15" s="30" t="str">
        <x:v>Product Catalog</x:v>
      </x:c>
      <x:c r="D15" s="30" t="str">
        <x:v>Back to Products navigation</x:v>
      </x:c>
      <x:c r="E15" s="30" t="str">
        <x:v>User is logged in</x:v>
      </x:c>
      <x:c r="F15" s="30" t="str">
        <x:v>1. Open inventory
2. Execute: Back to Products navigation
3. Compare visible product state</x:v>
      </x:c>
      <x:c r="G15" s="30" t="str">
        <x:v>Visible products</x:v>
      </x:c>
      <x:c r="H15" s="30" t="str">
        <x:v>Catalog behavior and displayed data match the scenario.</x:v>
      </x:c>
      <x:c r="I15" s="30" t="str">
        <x:v>Not Run</x:v>
      </x:c>
      <x:c r="J15" s="30" t="str">
        <x:v>Medium</x:v>
      </x:c>
      <x:c r="K15" s="30" t="str">
        <x:v>Functional</x:v>
      </x:c>
      <x:c r="L15" s="31" t="str"/>
    </x:row>
    <x:row r="16">
      <x:c r="A16" s="29" t="str">
        <x:v>TC-015</x:v>
      </x:c>
      <x:c r="B16" s="30" t="str">
        <x:v>REQ-009</x:v>
      </x:c>
      <x:c r="C16" s="30" t="str">
        <x:v>Product Catalog</x:v>
      </x:c>
      <x:c r="D16" s="30" t="str">
        <x:v>Sort name A-Z</x:v>
      </x:c>
      <x:c r="E16" s="30" t="str">
        <x:v>User is logged in</x:v>
      </x:c>
      <x:c r="F16" s="30" t="str">
        <x:v>1. Open inventory
2. Execute: Sort name A-Z
3. Compare visible product state</x:v>
      </x:c>
      <x:c r="G16" s="30" t="str">
        <x:v>Visible products</x:v>
      </x:c>
      <x:c r="H16" s="30" t="str">
        <x:v>Catalog behavior and displayed data match the scenario.</x:v>
      </x:c>
      <x:c r="I16" s="30" t="str">
        <x:v>Not Run</x:v>
      </x:c>
      <x:c r="J16" s="30" t="str">
        <x:v>Medium</x:v>
      </x:c>
      <x:c r="K16" s="30" t="str">
        <x:v>Functional</x:v>
      </x:c>
      <x:c r="L16" s="31" t="str"/>
    </x:row>
    <x:row r="17">
      <x:c r="A17" s="29" t="str">
        <x:v>TC-016</x:v>
      </x:c>
      <x:c r="B17" s="30" t="str">
        <x:v>REQ-009</x:v>
      </x:c>
      <x:c r="C17" s="30" t="str">
        <x:v>Product Catalog</x:v>
      </x:c>
      <x:c r="D17" s="30" t="str">
        <x:v>Sort name Z-A</x:v>
      </x:c>
      <x:c r="E17" s="30" t="str">
        <x:v>User is logged in</x:v>
      </x:c>
      <x:c r="F17" s="30" t="str">
        <x:v>1. Open inventory
2. Execute: Sort name Z-A
3. Compare visible product state</x:v>
      </x:c>
      <x:c r="G17" s="30" t="str">
        <x:v>Visible products</x:v>
      </x:c>
      <x:c r="H17" s="30" t="str">
        <x:v>Catalog behavior and displayed data match the scenario.</x:v>
      </x:c>
      <x:c r="I17" s="30" t="str">
        <x:v>Not Run</x:v>
      </x:c>
      <x:c r="J17" s="30" t="str">
        <x:v>Medium</x:v>
      </x:c>
      <x:c r="K17" s="30" t="str">
        <x:v>Functional</x:v>
      </x:c>
      <x:c r="L17" s="31" t="str"/>
    </x:row>
    <x:row r="18">
      <x:c r="A18" s="29" t="str">
        <x:v>TC-017</x:v>
      </x:c>
      <x:c r="B18" s="30" t="str">
        <x:v>REQ-010</x:v>
      </x:c>
      <x:c r="C18" s="30" t="str">
        <x:v>Product Catalog</x:v>
      </x:c>
      <x:c r="D18" s="30" t="str">
        <x:v>Sort price low-high</x:v>
      </x:c>
      <x:c r="E18" s="30" t="str">
        <x:v>User is logged in</x:v>
      </x:c>
      <x:c r="F18" s="30" t="str">
        <x:v>1. Open inventory
2. Execute: Sort price low-high
3. Compare visible product state</x:v>
      </x:c>
      <x:c r="G18" s="30" t="str">
        <x:v>Visible products</x:v>
      </x:c>
      <x:c r="H18" s="30" t="str">
        <x:v>Catalog behavior and displayed data match the scenario.</x:v>
      </x:c>
      <x:c r="I18" s="30" t="str">
        <x:v>Not Run</x:v>
      </x:c>
      <x:c r="J18" s="30" t="str">
        <x:v>Medium</x:v>
      </x:c>
      <x:c r="K18" s="30" t="str">
        <x:v>Functional</x:v>
      </x:c>
      <x:c r="L18" s="31" t="str"/>
    </x:row>
    <x:row r="19">
      <x:c r="A19" s="29" t="str">
        <x:v>TC-018</x:v>
      </x:c>
      <x:c r="B19" s="30" t="str">
        <x:v>REQ-010</x:v>
      </x:c>
      <x:c r="C19" s="30" t="str">
        <x:v>Product Catalog</x:v>
      </x:c>
      <x:c r="D19" s="30" t="str">
        <x:v>Sort price high-low</x:v>
      </x:c>
      <x:c r="E19" s="30" t="str">
        <x:v>User is logged in</x:v>
      </x:c>
      <x:c r="F19" s="30" t="str">
        <x:v>1. Open inventory
2. Execute: Sort price high-low
3. Compare visible product state</x:v>
      </x:c>
      <x:c r="G19" s="30" t="str">
        <x:v>Visible products</x:v>
      </x:c>
      <x:c r="H19" s="30" t="str">
        <x:v>Catalog behavior and displayed data match the scenario.</x:v>
      </x:c>
      <x:c r="I19" s="30" t="str">
        <x:v>Not Run</x:v>
      </x:c>
      <x:c r="J19" s="30" t="str">
        <x:v>Medium</x:v>
      </x:c>
      <x:c r="K19" s="30" t="str">
        <x:v>Functional</x:v>
      </x:c>
      <x:c r="L19" s="31" t="str"/>
    </x:row>
    <x:row r="20">
      <x:c r="A20" s="29" t="str">
        <x:v>TC-019</x:v>
      </x:c>
      <x:c r="B20" s="30" t="str">
        <x:v>REQ-009</x:v>
      </x:c>
      <x:c r="C20" s="30" t="str">
        <x:v>Product Catalog</x:v>
      </x:c>
      <x:c r="D20" s="30" t="str">
        <x:v>Repeated sort changes</x:v>
      </x:c>
      <x:c r="E20" s="30" t="str">
        <x:v>User is logged in</x:v>
      </x:c>
      <x:c r="F20" s="30" t="str">
        <x:v>1. Open inventory
2. Execute: Repeated sort changes
3. Compare visible product state</x:v>
      </x:c>
      <x:c r="G20" s="30" t="str">
        <x:v>Visible products</x:v>
      </x:c>
      <x:c r="H20" s="30" t="str">
        <x:v>Catalog behavior and displayed data match the scenario.</x:v>
      </x:c>
      <x:c r="I20" s="30" t="str">
        <x:v>Not Run</x:v>
      </x:c>
      <x:c r="J20" s="30" t="str">
        <x:v>Medium</x:v>
      </x:c>
      <x:c r="K20" s="30" t="str">
        <x:v>Functional</x:v>
      </x:c>
      <x:c r="L20" s="31" t="str"/>
    </x:row>
    <x:row r="21">
      <x:c r="A21" s="29" t="str">
        <x:v>TC-020</x:v>
      </x:c>
      <x:c r="B21" s="30" t="str">
        <x:v>REQ-007</x:v>
      </x:c>
      <x:c r="C21" s="30" t="str">
        <x:v>Product Catalog</x:v>
      </x:c>
      <x:c r="D21" s="30" t="str">
        <x:v>Consistent price currency format</x:v>
      </x:c>
      <x:c r="E21" s="30" t="str">
        <x:v>User is logged in</x:v>
      </x:c>
      <x:c r="F21" s="30" t="str">
        <x:v>1. Open inventory
2. Execute: Consistent price currency format
3. Compare visible product state</x:v>
      </x:c>
      <x:c r="G21" s="30" t="str">
        <x:v>Visible products</x:v>
      </x:c>
      <x:c r="H21" s="30" t="str">
        <x:v>Catalog behavior and displayed data match the scenario.</x:v>
      </x:c>
      <x:c r="I21" s="30" t="str">
        <x:v>Not Run</x:v>
      </x:c>
      <x:c r="J21" s="30" t="str">
        <x:v>Medium</x:v>
      </x:c>
      <x:c r="K21" s="30" t="str">
        <x:v>Functional</x:v>
      </x:c>
      <x:c r="L21" s="31" t="str"/>
    </x:row>
    <x:row r="22">
      <x:c r="A22" s="29" t="str">
        <x:v>TC-021</x:v>
      </x:c>
      <x:c r="B22" s="30" t="str">
        <x:v>REQ-013</x:v>
      </x:c>
      <x:c r="C22" s="30" t="str">
        <x:v>Shopping Cart</x:v>
      </x:c>
      <x:c r="D22" s="30" t="str">
        <x:v>Add one product updates badge</x:v>
      </x:c>
      <x:c r="E22" s="30" t="str">
        <x:v>User is logged in; cart state prepared as needed</x:v>
      </x:c>
      <x:c r="F22" s="30" t="str">
        <x:v>1. Prepare required cart state
2. Execute: Add one product updates badge
3. Inspect badge/cart contents</x:v>
      </x:c>
      <x:c r="G22" s="30" t="str">
        <x:v>One or more visible products</x:v>
      </x:c>
      <x:c r="H22" s="30" t="str">
        <x:v>Cart contents, badge, names, and prices remain consistent.</x:v>
      </x:c>
      <x:c r="I22" s="30" t="str">
        <x:v>Not Run</x:v>
      </x:c>
      <x:c r="J22" s="30" t="str">
        <x:v>High</x:v>
      </x:c>
      <x:c r="K22" s="30" t="str">
        <x:v>Functional</x:v>
      </x:c>
      <x:c r="L22" s="31" t="str"/>
    </x:row>
    <x:row r="23">
      <x:c r="A23" s="29" t="str">
        <x:v>TC-022</x:v>
      </x:c>
      <x:c r="B23" s="30" t="str">
        <x:v>REQ-013</x:v>
      </x:c>
      <x:c r="C23" s="30" t="str">
        <x:v>Shopping Cart</x:v>
      </x:c>
      <x:c r="D23" s="30" t="str">
        <x:v>Add multiple products updates badge</x:v>
      </x:c>
      <x:c r="E23" s="30" t="str">
        <x:v>User is logged in; cart state prepared as needed</x:v>
      </x:c>
      <x:c r="F23" s="30" t="str">
        <x:v>1. Prepare required cart state
2. Execute: Add multiple products updates badge
3. Inspect badge/cart contents</x:v>
      </x:c>
      <x:c r="G23" s="30" t="str">
        <x:v>One or more visible products</x:v>
      </x:c>
      <x:c r="H23" s="30" t="str">
        <x:v>Cart contents, badge, names, and prices remain consistent.</x:v>
      </x:c>
      <x:c r="I23" s="30" t="str">
        <x:v>Not Run</x:v>
      </x:c>
      <x:c r="J23" s="30" t="str">
        <x:v>High</x:v>
      </x:c>
      <x:c r="K23" s="30" t="str">
        <x:v>Functional</x:v>
      </x:c>
      <x:c r="L23" s="31" t="str"/>
    </x:row>
    <x:row r="24">
      <x:c r="A24" s="29" t="str">
        <x:v>TC-023</x:v>
      </x:c>
      <x:c r="B24" s="30" t="str">
        <x:v>REQ-011</x:v>
      </x:c>
      <x:c r="C24" s="30" t="str">
        <x:v>Shopping Cart</x:v>
      </x:c>
      <x:c r="D24" s="30" t="str">
        <x:v>Added product appears in cart</x:v>
      </x:c>
      <x:c r="E24" s="30" t="str">
        <x:v>User is logged in; cart state prepared as needed</x:v>
      </x:c>
      <x:c r="F24" s="30" t="str">
        <x:v>1. Prepare required cart state
2. Execute: Added product appears in cart
3. Inspect badge/cart contents</x:v>
      </x:c>
      <x:c r="G24" s="30" t="str">
        <x:v>One or more visible products</x:v>
      </x:c>
      <x:c r="H24" s="30" t="str">
        <x:v>Cart contents, badge, names, and prices remain consistent.</x:v>
      </x:c>
      <x:c r="I24" s="30" t="str">
        <x:v>Not Run</x:v>
      </x:c>
      <x:c r="J24" s="30" t="str">
        <x:v>High</x:v>
      </x:c>
      <x:c r="K24" s="30" t="str">
        <x:v>Functional</x:v>
      </x:c>
      <x:c r="L24" s="31" t="str"/>
    </x:row>
    <x:row r="25">
      <x:c r="A25" s="29" t="str">
        <x:v>TC-024</x:v>
      </x:c>
      <x:c r="B25" s="30" t="str">
        <x:v>REQ-012</x:v>
      </x:c>
      <x:c r="C25" s="30" t="str">
        <x:v>Shopping Cart</x:v>
      </x:c>
      <x:c r="D25" s="30" t="str">
        <x:v>Multiple products appear in cart</x:v>
      </x:c>
      <x:c r="E25" s="30" t="str">
        <x:v>User is logged in; cart state prepared as needed</x:v>
      </x:c>
      <x:c r="F25" s="30" t="str">
        <x:v>1. Prepare required cart state
2. Execute: Multiple products appear in cart
3. Inspect badge/cart contents</x:v>
      </x:c>
      <x:c r="G25" s="30" t="str">
        <x:v>One or more visible products</x:v>
      </x:c>
      <x:c r="H25" s="30" t="str">
        <x:v>Cart contents, badge, names, and prices remain consistent.</x:v>
      </x:c>
      <x:c r="I25" s="30" t="str">
        <x:v>Not Run</x:v>
      </x:c>
      <x:c r="J25" s="30" t="str">
        <x:v>High</x:v>
      </x:c>
      <x:c r="K25" s="30" t="str">
        <x:v>Functional</x:v>
      </x:c>
      <x:c r="L25" s="31" t="str"/>
    </x:row>
    <x:row r="26">
      <x:c r="A26" s="29" t="str">
        <x:v>TC-025</x:v>
      </x:c>
      <x:c r="B26" s="30" t="str">
        <x:v>REQ-014</x:v>
      </x:c>
      <x:c r="C26" s="30" t="str">
        <x:v>Shopping Cart</x:v>
      </x:c>
      <x:c r="D26" s="30" t="str">
        <x:v>Remove product from inventory</x:v>
      </x:c>
      <x:c r="E26" s="30" t="str">
        <x:v>User is logged in; cart state prepared as needed</x:v>
      </x:c>
      <x:c r="F26" s="30" t="str">
        <x:v>1. Prepare required cart state
2. Execute: Remove product from inventory
3. Inspect badge/cart contents</x:v>
      </x:c>
      <x:c r="G26" s="30" t="str">
        <x:v>One or more visible products</x:v>
      </x:c>
      <x:c r="H26" s="30" t="str">
        <x:v>Cart contents, badge, names, and prices remain consistent.</x:v>
      </x:c>
      <x:c r="I26" s="30" t="str">
        <x:v>Not Run</x:v>
      </x:c>
      <x:c r="J26" s="30" t="str">
        <x:v>High</x:v>
      </x:c>
      <x:c r="K26" s="30" t="str">
        <x:v>Functional</x:v>
      </x:c>
      <x:c r="L26" s="31" t="str"/>
    </x:row>
    <x:row r="27">
      <x:c r="A27" s="29" t="str">
        <x:v>TC-026</x:v>
      </x:c>
      <x:c r="B27" s="30" t="str">
        <x:v>REQ-014</x:v>
      </x:c>
      <x:c r="C27" s="30" t="str">
        <x:v>Shopping Cart</x:v>
      </x:c>
      <x:c r="D27" s="30" t="str">
        <x:v>Remove product from cart</x:v>
      </x:c>
      <x:c r="E27" s="30" t="str">
        <x:v>User is logged in; cart state prepared as needed</x:v>
      </x:c>
      <x:c r="F27" s="30" t="str">
        <x:v>1. Prepare required cart state
2. Execute: Remove product from cart
3. Inspect badge/cart contents</x:v>
      </x:c>
      <x:c r="G27" s="30" t="str">
        <x:v>One or more visible products</x:v>
      </x:c>
      <x:c r="H27" s="30" t="str">
        <x:v>Cart contents, badge, names, and prices remain consistent.</x:v>
      </x:c>
      <x:c r="I27" s="30" t="str">
        <x:v>Not Run</x:v>
      </x:c>
      <x:c r="J27" s="30" t="str">
        <x:v>High</x:v>
      </x:c>
      <x:c r="K27" s="30" t="str">
        <x:v>Functional</x:v>
      </x:c>
      <x:c r="L27" s="31" t="str"/>
    </x:row>
    <x:row r="28">
      <x:c r="A28" s="29" t="str">
        <x:v>TC-027</x:v>
      </x:c>
      <x:c r="B28" s="30" t="str">
        <x:v>REQ-015</x:v>
      </x:c>
      <x:c r="C28" s="30" t="str">
        <x:v>Shopping Cart</x:v>
      </x:c>
      <x:c r="D28" s="30" t="str">
        <x:v>Cart persists through product detail navigation</x:v>
      </x:c>
      <x:c r="E28" s="30" t="str">
        <x:v>User is logged in; cart state prepared as needed</x:v>
      </x:c>
      <x:c r="F28" s="30" t="str">
        <x:v>1. Prepare required cart state
2. Execute: Cart persists through product detail navigation
3. Inspect badge/cart contents</x:v>
      </x:c>
      <x:c r="G28" s="30" t="str">
        <x:v>One or more visible products</x:v>
      </x:c>
      <x:c r="H28" s="30" t="str">
        <x:v>Cart contents, badge, names, and prices remain consistent.</x:v>
      </x:c>
      <x:c r="I28" s="30" t="str">
        <x:v>Not Run</x:v>
      </x:c>
      <x:c r="J28" s="30" t="str">
        <x:v>High</x:v>
      </x:c>
      <x:c r="K28" s="30" t="str">
        <x:v>Functional</x:v>
      </x:c>
      <x:c r="L28" s="31" t="str"/>
    </x:row>
    <x:row r="29">
      <x:c r="A29" s="29" t="str">
        <x:v>TC-028</x:v>
      </x:c>
      <x:c r="B29" s="30" t="str">
        <x:v>REQ-015</x:v>
      </x:c>
      <x:c r="C29" s="30" t="str">
        <x:v>Shopping Cart</x:v>
      </x:c>
      <x:c r="D29" s="30" t="str">
        <x:v>Cart persists after Continue Shopping</x:v>
      </x:c>
      <x:c r="E29" s="30" t="str">
        <x:v>User is logged in; cart state prepared as needed</x:v>
      </x:c>
      <x:c r="F29" s="30" t="str">
        <x:v>1. Prepare required cart state
2. Execute: Cart persists after Continue Shopping
3. Inspect badge/cart contents</x:v>
      </x:c>
      <x:c r="G29" s="30" t="str">
        <x:v>One or more visible products</x:v>
      </x:c>
      <x:c r="H29" s="30" t="str">
        <x:v>Cart contents, badge, names, and prices remain consistent.</x:v>
      </x:c>
      <x:c r="I29" s="30" t="str">
        <x:v>Not Run</x:v>
      </x:c>
      <x:c r="J29" s="30" t="str">
        <x:v>High</x:v>
      </x:c>
      <x:c r="K29" s="30" t="str">
        <x:v>Functional</x:v>
      </x:c>
      <x:c r="L29" s="31" t="str"/>
    </x:row>
    <x:row r="30">
      <x:c r="A30" s="29" t="str">
        <x:v>TC-029</x:v>
      </x:c>
      <x:c r="B30" s="30" t="str">
        <x:v>REQ-016</x:v>
      </x:c>
      <x:c r="C30" s="30" t="str">
        <x:v>Shopping Cart</x:v>
      </x:c>
      <x:c r="D30" s="30" t="str">
        <x:v>Cart name matches inventory</x:v>
      </x:c>
      <x:c r="E30" s="30" t="str">
        <x:v>User is logged in; cart state prepared as needed</x:v>
      </x:c>
      <x:c r="F30" s="30" t="str">
        <x:v>1. Prepare required cart state
2. Execute: Cart name matches inventory
3. Inspect badge/cart contents</x:v>
      </x:c>
      <x:c r="G30" s="30" t="str">
        <x:v>One or more visible products</x:v>
      </x:c>
      <x:c r="H30" s="30" t="str">
        <x:v>Cart contents, badge, names, and prices remain consistent.</x:v>
      </x:c>
      <x:c r="I30" s="30" t="str">
        <x:v>Not Run</x:v>
      </x:c>
      <x:c r="J30" s="30" t="str">
        <x:v>High</x:v>
      </x:c>
      <x:c r="K30" s="30" t="str">
        <x:v>Functional</x:v>
      </x:c>
      <x:c r="L30" s="31" t="str"/>
    </x:row>
    <x:row r="31">
      <x:c r="A31" s="29" t="str">
        <x:v>TC-030</x:v>
      </x:c>
      <x:c r="B31" s="30" t="str">
        <x:v>REQ-016</x:v>
      </x:c>
      <x:c r="C31" s="30" t="str">
        <x:v>Shopping Cart</x:v>
      </x:c>
      <x:c r="D31" s="30" t="str">
        <x:v>Cart price matches inventory</x:v>
      </x:c>
      <x:c r="E31" s="30" t="str">
        <x:v>User is logged in; cart state prepared as needed</x:v>
      </x:c>
      <x:c r="F31" s="30" t="str">
        <x:v>1. Prepare required cart state
2. Execute: Cart price matches inventory
3. Inspect badge/cart contents</x:v>
      </x:c>
      <x:c r="G31" s="30" t="str">
        <x:v>One or more visible products</x:v>
      </x:c>
      <x:c r="H31" s="30" t="str">
        <x:v>Cart contents, badge, names, and prices remain consistent.</x:v>
      </x:c>
      <x:c r="I31" s="30" t="str">
        <x:v>Not Run</x:v>
      </x:c>
      <x:c r="J31" s="30" t="str">
        <x:v>High</x:v>
      </x:c>
      <x:c r="K31" s="30" t="str">
        <x:v>Functional</x:v>
      </x:c>
      <x:c r="L31" s="31" t="str"/>
    </x:row>
    <x:row r="32">
      <x:c r="A32" s="29" t="str">
        <x:v>TC-031</x:v>
      </x:c>
      <x:c r="B32" s="30" t="str">
        <x:v>REQ-011</x:v>
      </x:c>
      <x:c r="C32" s="30" t="str">
        <x:v>Shopping Cart</x:v>
      </x:c>
      <x:c r="D32" s="30" t="str">
        <x:v>Open empty cart</x:v>
      </x:c>
      <x:c r="E32" s="30" t="str">
        <x:v>User is logged in; cart state prepared as needed</x:v>
      </x:c>
      <x:c r="F32" s="30" t="str">
        <x:v>1. Prepare required cart state
2. Execute: Open empty cart
3. Inspect badge/cart contents</x:v>
      </x:c>
      <x:c r="G32" s="30" t="str">
        <x:v>One or more visible products</x:v>
      </x:c>
      <x:c r="H32" s="30" t="str">
        <x:v>Cart contents, badge, names, and prices remain consistent.</x:v>
      </x:c>
      <x:c r="I32" s="30" t="str">
        <x:v>Not Run</x:v>
      </x:c>
      <x:c r="J32" s="30" t="str">
        <x:v>High</x:v>
      </x:c>
      <x:c r="K32" s="30" t="str">
        <x:v>Functional</x:v>
      </x:c>
      <x:c r="L32" s="31" t="str"/>
    </x:row>
    <x:row r="33">
      <x:c r="A33" s="29" t="str">
        <x:v>TC-032</x:v>
      </x:c>
      <x:c r="B33" s="30" t="str">
        <x:v>REQ-013</x:v>
      </x:c>
      <x:c r="C33" s="30" t="str">
        <x:v>Shopping Cart</x:v>
      </x:c>
      <x:c r="D33" s="30" t="str">
        <x:v>No badge when cart is empty</x:v>
      </x:c>
      <x:c r="E33" s="30" t="str">
        <x:v>User is logged in; cart state prepared as needed</x:v>
      </x:c>
      <x:c r="F33" s="30" t="str">
        <x:v>1. Prepare required cart state
2. Execute: No badge when cart is empty
3. Inspect badge/cart contents</x:v>
      </x:c>
      <x:c r="G33" s="30" t="str">
        <x:v>One or more visible products</x:v>
      </x:c>
      <x:c r="H33" s="30" t="str">
        <x:v>Cart contents, badge, names, and prices remain consistent.</x:v>
      </x:c>
      <x:c r="I33" s="30" t="str">
        <x:v>Not Run</x:v>
      </x:c>
      <x:c r="J33" s="30" t="str">
        <x:v>High</x:v>
      </x:c>
      <x:c r="K33" s="30" t="str">
        <x:v>Functional</x:v>
      </x:c>
      <x:c r="L33" s="31" t="str"/>
    </x:row>
    <x:row r="34">
      <x:c r="A34" s="29" t="str">
        <x:v>TC-033</x:v>
      </x:c>
      <x:c r="B34" s="30" t="str">
        <x:v>REQ-017</x:v>
      </x:c>
      <x:c r="C34" s="30" t="str">
        <x:v>Checkout</x:v>
      </x:c>
      <x:c r="D34" s="30" t="str">
        <x:v>Start checkout with item</x:v>
      </x:c>
      <x:c r="E34" s="30" t="str">
        <x:v>User is logged in; checkout state prepared as needed</x:v>
      </x:c>
      <x:c r="F34" s="30" t="str">
        <x:v>1. Open cart/checkout
2. Execute: Start checkout with item
3. Observe validation, overview, or confirmation</x:v>
      </x:c>
      <x:c r="G34" s="30" t="str">
        <x:v>Jane / Doe / 10001 and boundary variants</x:v>
      </x:c>
      <x:c r="H34" s="30" t="str">
        <x:v>Checkout behavior matches the scenario without inconsistent totals or state.</x:v>
      </x:c>
      <x:c r="I34" s="30" t="str">
        <x:v>Not Run</x:v>
      </x:c>
      <x:c r="J34" s="30" t="str">
        <x:v>High</x:v>
      </x:c>
      <x:c r="K34" s="30" t="str">
        <x:v>Functional</x:v>
      </x:c>
      <x:c r="L34" s="31" t="str"/>
    </x:row>
    <x:row r="35">
      <x:c r="A35" s="29" t="str">
        <x:v>TC-034</x:v>
      </x:c>
      <x:c r="B35" s="30" t="str">
        <x:v>REQ-017</x:v>
      </x:c>
      <x:c r="C35" s="30" t="str">
        <x:v>Checkout</x:v>
      </x:c>
      <x:c r="D35" s="30" t="str">
        <x:v>Start checkout with empty cart and document behavior</x:v>
      </x:c>
      <x:c r="E35" s="30" t="str">
        <x:v>User is logged in; checkout state prepared as needed</x:v>
      </x:c>
      <x:c r="F35" s="30" t="str">
        <x:v>1. Open cart/checkout
2. Execute: Start checkout with empty cart and document behavior
3. Observe validation, overview, or confirmation</x:v>
      </x:c>
      <x:c r="G35" s="30" t="str">
        <x:v>Jane / Doe / 10001 and boundary variants</x:v>
      </x:c>
      <x:c r="H35" s="30" t="str">
        <x:v>Checkout behavior matches the scenario without inconsistent totals or state.</x:v>
      </x:c>
      <x:c r="I35" s="30" t="str">
        <x:v>Not Run</x:v>
      </x:c>
      <x:c r="J35" s="30" t="str">
        <x:v>High</x:v>
      </x:c>
      <x:c r="K35" s="30" t="str">
        <x:v>Functional</x:v>
      </x:c>
      <x:c r="L35" s="31" t="str"/>
    </x:row>
    <x:row r="36">
      <x:c r="A36" s="29" t="str">
        <x:v>TC-035</x:v>
      </x:c>
      <x:c r="B36" s="30" t="str">
        <x:v>REQ-018</x:v>
      </x:c>
      <x:c r="C36" s="30" t="str">
        <x:v>Checkout</x:v>
      </x:c>
      <x:c r="D36" s="30" t="str">
        <x:v>Submit valid customer information</x:v>
      </x:c>
      <x:c r="E36" s="30" t="str">
        <x:v>User is logged in; checkout state prepared as needed</x:v>
      </x:c>
      <x:c r="F36" s="30" t="str">
        <x:v>1. Open cart/checkout
2. Execute: Submit valid customer information
3. Observe validation, overview, or confirmation</x:v>
      </x:c>
      <x:c r="G36" s="30" t="str">
        <x:v>Jane / Doe / 10001 and boundary variants</x:v>
      </x:c>
      <x:c r="H36" s="30" t="str">
        <x:v>Checkout behavior matches the scenario without inconsistent totals or state.</x:v>
      </x:c>
      <x:c r="I36" s="30" t="str">
        <x:v>Not Run</x:v>
      </x:c>
      <x:c r="J36" s="30" t="str">
        <x:v>High</x:v>
      </x:c>
      <x:c r="K36" s="30" t="str">
        <x:v>Functional</x:v>
      </x:c>
      <x:c r="L36" s="31" t="str"/>
    </x:row>
    <x:row r="37">
      <x:c r="A37" s="29" t="str">
        <x:v>TC-036</x:v>
      </x:c>
      <x:c r="B37" s="30" t="str">
        <x:v>REQ-019</x:v>
      </x:c>
      <x:c r="C37" s="30" t="str">
        <x:v>Checkout</x:v>
      </x:c>
      <x:c r="D37" s="30" t="str">
        <x:v>First name required</x:v>
      </x:c>
      <x:c r="E37" s="30" t="str">
        <x:v>User is logged in; checkout state prepared as needed</x:v>
      </x:c>
      <x:c r="F37" s="30" t="str">
        <x:v>1. Open cart/checkout
2. Execute: First name required
3. Observe validation, overview, or confirmation</x:v>
      </x:c>
      <x:c r="G37" s="30" t="str">
        <x:v>Jane / Doe / 10001 and boundary variants</x:v>
      </x:c>
      <x:c r="H37" s="30" t="str">
        <x:v>Checkout behavior matches the scenario without inconsistent totals or state.</x:v>
      </x:c>
      <x:c r="I37" s="30" t="str">
        <x:v>Not Run</x:v>
      </x:c>
      <x:c r="J37" s="30" t="str">
        <x:v>High</x:v>
      </x:c>
      <x:c r="K37" s="30" t="str">
        <x:v>Functional</x:v>
      </x:c>
      <x:c r="L37" s="31" t="str"/>
    </x:row>
    <x:row r="38">
      <x:c r="A38" s="29" t="str">
        <x:v>TC-037</x:v>
      </x:c>
      <x:c r="B38" s="30" t="str">
        <x:v>REQ-019</x:v>
      </x:c>
      <x:c r="C38" s="30" t="str">
        <x:v>Checkout</x:v>
      </x:c>
      <x:c r="D38" s="30" t="str">
        <x:v>Last name required</x:v>
      </x:c>
      <x:c r="E38" s="30" t="str">
        <x:v>User is logged in; checkout state prepared as needed</x:v>
      </x:c>
      <x:c r="F38" s="30" t="str">
        <x:v>1. Open cart/checkout
2. Execute: Last name required
3. Observe validation, overview, or confirmation</x:v>
      </x:c>
      <x:c r="G38" s="30" t="str">
        <x:v>Jane / Doe / 10001 and boundary variants</x:v>
      </x:c>
      <x:c r="H38" s="30" t="str">
        <x:v>Checkout behavior matches the scenario without inconsistent totals or state.</x:v>
      </x:c>
      <x:c r="I38" s="30" t="str">
        <x:v>Not Run</x:v>
      </x:c>
      <x:c r="J38" s="30" t="str">
        <x:v>High</x:v>
      </x:c>
      <x:c r="K38" s="30" t="str">
        <x:v>Functional</x:v>
      </x:c>
      <x:c r="L38" s="31" t="str"/>
    </x:row>
    <x:row r="39">
      <x:c r="A39" s="29" t="str">
        <x:v>TC-038</x:v>
      </x:c>
      <x:c r="B39" s="30" t="str">
        <x:v>REQ-019</x:v>
      </x:c>
      <x:c r="C39" s="30" t="str">
        <x:v>Checkout</x:v>
      </x:c>
      <x:c r="D39" s="30" t="str">
        <x:v>Postal code required</x:v>
      </x:c>
      <x:c r="E39" s="30" t="str">
        <x:v>User is logged in; checkout state prepared as needed</x:v>
      </x:c>
      <x:c r="F39" s="30" t="str">
        <x:v>1. Open cart/checkout
2. Execute: Postal code required
3. Observe validation, overview, or confirmation</x:v>
      </x:c>
      <x:c r="G39" s="30" t="str">
        <x:v>Jane / Doe / 10001 and boundary variants</x:v>
      </x:c>
      <x:c r="H39" s="30" t="str">
        <x:v>Checkout behavior matches the scenario without inconsistent totals or state.</x:v>
      </x:c>
      <x:c r="I39" s="30" t="str">
        <x:v>Not Run</x:v>
      </x:c>
      <x:c r="J39" s="30" t="str">
        <x:v>High</x:v>
      </x:c>
      <x:c r="K39" s="30" t="str">
        <x:v>Functional</x:v>
      </x:c>
      <x:c r="L39" s="31" t="str"/>
    </x:row>
    <x:row r="40">
      <x:c r="A40" s="29" t="str">
        <x:v>TC-039</x:v>
      </x:c>
      <x:c r="B40" s="30" t="str">
        <x:v>REQ-019</x:v>
      </x:c>
      <x:c r="C40" s="30" t="str">
        <x:v>Checkout</x:v>
      </x:c>
      <x:c r="D40" s="30" t="str">
        <x:v>All customer fields blank</x:v>
      </x:c>
      <x:c r="E40" s="30" t="str">
        <x:v>User is logged in; checkout state prepared as needed</x:v>
      </x:c>
      <x:c r="F40" s="30" t="str">
        <x:v>1. Open cart/checkout
2. Execute: All customer fields blank
3. Observe validation, overview, or confirmation</x:v>
      </x:c>
      <x:c r="G40" s="30" t="str">
        <x:v>Jane / Doe / 10001 and boundary variants</x:v>
      </x:c>
      <x:c r="H40" s="30" t="str">
        <x:v>Checkout behavior matches the scenario without inconsistent totals or state.</x:v>
      </x:c>
      <x:c r="I40" s="30" t="str">
        <x:v>Not Run</x:v>
      </x:c>
      <x:c r="J40" s="30" t="str">
        <x:v>High</x:v>
      </x:c>
      <x:c r="K40" s="30" t="str">
        <x:v>Functional</x:v>
      </x:c>
      <x:c r="L40" s="31" t="str"/>
    </x:row>
    <x:row r="41">
      <x:c r="A41" s="29" t="str">
        <x:v>TC-040</x:v>
      </x:c>
      <x:c r="B41" s="30" t="str">
        <x:v>REQ-020</x:v>
      </x:c>
      <x:c r="C41" s="30" t="str">
        <x:v>Checkout</x:v>
      </x:c>
      <x:c r="D41" s="30" t="str">
        <x:v>Overview shows selected product</x:v>
      </x:c>
      <x:c r="E41" s="30" t="str">
        <x:v>User is logged in; checkout state prepared as needed</x:v>
      </x:c>
      <x:c r="F41" s="30" t="str">
        <x:v>1. Open cart/checkout
2. Execute: Overview shows selected product
3. Observe validation, overview, or confirmation</x:v>
      </x:c>
      <x:c r="G41" s="30" t="str">
        <x:v>Jane / Doe / 10001 and boundary variants</x:v>
      </x:c>
      <x:c r="H41" s="30" t="str">
        <x:v>Checkout behavior matches the scenario without inconsistent totals or state.</x:v>
      </x:c>
      <x:c r="I41" s="30" t="str">
        <x:v>Not Run</x:v>
      </x:c>
      <x:c r="J41" s="30" t="str">
        <x:v>High</x:v>
      </x:c>
      <x:c r="K41" s="30" t="str">
        <x:v>Functional</x:v>
      </x:c>
      <x:c r="L41" s="31" t="str"/>
    </x:row>
    <x:row r="42">
      <x:c r="A42" s="29" t="str">
        <x:v>TC-041</x:v>
      </x:c>
      <x:c r="B42" s="30" t="str">
        <x:v>REQ-021</x:v>
      </x:c>
      <x:c r="C42" s="30" t="str">
        <x:v>Checkout</x:v>
      </x:c>
      <x:c r="D42" s="30" t="str">
        <x:v>Overview item total visible</x:v>
      </x:c>
      <x:c r="E42" s="30" t="str">
        <x:v>User is logged in; checkout state prepared as needed</x:v>
      </x:c>
      <x:c r="F42" s="30" t="str">
        <x:v>1. Open cart/checkout
2. Execute: Overview item total visible
3. Observe validation, overview, or confirmation</x:v>
      </x:c>
      <x:c r="G42" s="30" t="str">
        <x:v>Jane / Doe / 10001 and boundary variants</x:v>
      </x:c>
      <x:c r="H42" s="30" t="str">
        <x:v>Checkout behavior matches the scenario without inconsistent totals or state.</x:v>
      </x:c>
      <x:c r="I42" s="30" t="str">
        <x:v>Not Run</x:v>
      </x:c>
      <x:c r="J42" s="30" t="str">
        <x:v>High</x:v>
      </x:c>
      <x:c r="K42" s="30" t="str">
        <x:v>Functional</x:v>
      </x:c>
      <x:c r="L42" s="31" t="str"/>
    </x:row>
    <x:row r="43">
      <x:c r="A43" s="29" t="str">
        <x:v>TC-042</x:v>
      </x:c>
      <x:c r="B43" s="30" t="str">
        <x:v>REQ-021</x:v>
      </x:c>
      <x:c r="C43" s="30" t="str">
        <x:v>Checkout</x:v>
      </x:c>
      <x:c r="D43" s="30" t="str">
        <x:v>Overview tax visible</x:v>
      </x:c>
      <x:c r="E43" s="30" t="str">
        <x:v>User is logged in; checkout state prepared as needed</x:v>
      </x:c>
      <x:c r="F43" s="30" t="str">
        <x:v>1. Open cart/checkout
2. Execute: Overview tax visible
3. Observe validation, overview, or confirmation</x:v>
      </x:c>
      <x:c r="G43" s="30" t="str">
        <x:v>Jane / Doe / 10001 and boundary variants</x:v>
      </x:c>
      <x:c r="H43" s="30" t="str">
        <x:v>Checkout behavior matches the scenario without inconsistent totals or state.</x:v>
      </x:c>
      <x:c r="I43" s="30" t="str">
        <x:v>Not Run</x:v>
      </x:c>
      <x:c r="J43" s="30" t="str">
        <x:v>High</x:v>
      </x:c>
      <x:c r="K43" s="30" t="str">
        <x:v>Functional</x:v>
      </x:c>
      <x:c r="L43" s="31" t="str"/>
    </x:row>
    <x:row r="44">
      <x:c r="A44" s="29" t="str">
        <x:v>TC-043</x:v>
      </x:c>
      <x:c r="B44" s="30" t="str">
        <x:v>REQ-021</x:v>
      </x:c>
      <x:c r="C44" s="30" t="str">
        <x:v>Checkout</x:v>
      </x:c>
      <x:c r="D44" s="30" t="str">
        <x:v>Overview total visible</x:v>
      </x:c>
      <x:c r="E44" s="30" t="str">
        <x:v>User is logged in; checkout state prepared as needed</x:v>
      </x:c>
      <x:c r="F44" s="30" t="str">
        <x:v>1. Open cart/checkout
2. Execute: Overview total visible
3. Observe validation, overview, or confirmation</x:v>
      </x:c>
      <x:c r="G44" s="30" t="str">
        <x:v>Jane / Doe / 10001 and boundary variants</x:v>
      </x:c>
      <x:c r="H44" s="30" t="str">
        <x:v>Checkout behavior matches the scenario without inconsistent totals or state.</x:v>
      </x:c>
      <x:c r="I44" s="30" t="str">
        <x:v>Not Run</x:v>
      </x:c>
      <x:c r="J44" s="30" t="str">
        <x:v>High</x:v>
      </x:c>
      <x:c r="K44" s="30" t="str">
        <x:v>Functional</x:v>
      </x:c>
      <x:c r="L44" s="31" t="str"/>
    </x:row>
    <x:row r="45">
      <x:c r="A45" s="29" t="str">
        <x:v>TC-044</x:v>
      </x:c>
      <x:c r="B45" s="30" t="str">
        <x:v>REQ-021</x:v>
      </x:c>
      <x:c r="C45" s="30" t="str">
        <x:v>Checkout</x:v>
      </x:c>
      <x:c r="D45" s="30" t="str">
        <x:v>Total arithmetic is correct</x:v>
      </x:c>
      <x:c r="E45" s="30" t="str">
        <x:v>User is logged in; checkout state prepared as needed</x:v>
      </x:c>
      <x:c r="F45" s="30" t="str">
        <x:v>1. Open cart/checkout
2. Execute: Total arithmetic is correct
3. Observe validation, overview, or confirmation</x:v>
      </x:c>
      <x:c r="G45" s="30" t="str">
        <x:v>Jane / Doe / 10001 and boundary variants</x:v>
      </x:c>
      <x:c r="H45" s="30" t="str">
        <x:v>Checkout behavior matches the scenario without inconsistent totals or state.</x:v>
      </x:c>
      <x:c r="I45" s="30" t="str">
        <x:v>Not Run</x:v>
      </x:c>
      <x:c r="J45" s="30" t="str">
        <x:v>High</x:v>
      </x:c>
      <x:c r="K45" s="30" t="str">
        <x:v>Functional</x:v>
      </x:c>
      <x:c r="L45" s="31" t="str"/>
    </x:row>
    <x:row r="46">
      <x:c r="A46" s="29" t="str">
        <x:v>TC-045</x:v>
      </x:c>
      <x:c r="B46" s="30" t="str">
        <x:v>REQ-022</x:v>
      </x:c>
      <x:c r="C46" s="30" t="str">
        <x:v>Checkout</x:v>
      </x:c>
      <x:c r="D46" s="30" t="str">
        <x:v>Finish completes order</x:v>
      </x:c>
      <x:c r="E46" s="30" t="str">
        <x:v>User is logged in; checkout state prepared as needed</x:v>
      </x:c>
      <x:c r="F46" s="30" t="str">
        <x:v>1. Open cart/checkout
2. Execute: Finish completes order
3. Observe validation, overview, or confirmation</x:v>
      </x:c>
      <x:c r="G46" s="30" t="str">
        <x:v>Jane / Doe / 10001 and boundary variants</x:v>
      </x:c>
      <x:c r="H46" s="30" t="str">
        <x:v>Checkout behavior matches the scenario without inconsistent totals or state.</x:v>
      </x:c>
      <x:c r="I46" s="30" t="str">
        <x:v>Not Run</x:v>
      </x:c>
      <x:c r="J46" s="30" t="str">
        <x:v>High</x:v>
      </x:c>
      <x:c r="K46" s="30" t="str">
        <x:v>Functional</x:v>
      </x:c>
      <x:c r="L46" s="31" t="str"/>
    </x:row>
    <x:row r="47">
      <x:c r="A47" s="29" t="str">
        <x:v>TC-046</x:v>
      </x:c>
      <x:c r="B47" s="30" t="str">
        <x:v>REQ-022</x:v>
      </x:c>
      <x:c r="C47" s="30" t="str">
        <x:v>Checkout</x:v>
      </x:c>
      <x:c r="D47" s="30" t="str">
        <x:v>Confirmation content</x:v>
      </x:c>
      <x:c r="E47" s="30" t="str">
        <x:v>User is logged in; checkout state prepared as needed</x:v>
      </x:c>
      <x:c r="F47" s="30" t="str">
        <x:v>1. Open cart/checkout
2. Execute: Confirmation content
3. Observe validation, overview, or confirmation</x:v>
      </x:c>
      <x:c r="G47" s="30" t="str">
        <x:v>Jane / Doe / 10001 and boundary variants</x:v>
      </x:c>
      <x:c r="H47" s="30" t="str">
        <x:v>Checkout behavior matches the scenario without inconsistent totals or state.</x:v>
      </x:c>
      <x:c r="I47" s="30" t="str">
        <x:v>Not Run</x:v>
      </x:c>
      <x:c r="J47" s="30" t="str">
        <x:v>High</x:v>
      </x:c>
      <x:c r="K47" s="30" t="str">
        <x:v>Functional</x:v>
      </x:c>
      <x:c r="L47" s="31" t="str"/>
    </x:row>
    <x:row r="48">
      <x:c r="A48" s="29" t="str">
        <x:v>TC-047</x:v>
      </x:c>
      <x:c r="B48" s="30" t="str">
        <x:v>REQ-022</x:v>
      </x:c>
      <x:c r="C48" s="30" t="str">
        <x:v>Checkout</x:v>
      </x:c>
      <x:c r="D48" s="30" t="str">
        <x:v>Back Home returns to inventory</x:v>
      </x:c>
      <x:c r="E48" s="30" t="str">
        <x:v>User is logged in; checkout state prepared as needed</x:v>
      </x:c>
      <x:c r="F48" s="30" t="str">
        <x:v>1. Open cart/checkout
2. Execute: Back Home returns to inventory
3. Observe validation, overview, or confirmation</x:v>
      </x:c>
      <x:c r="G48" s="30" t="str">
        <x:v>Jane / Doe / 10001 and boundary variants</x:v>
      </x:c>
      <x:c r="H48" s="30" t="str">
        <x:v>Checkout behavior matches the scenario without inconsistent totals or state.</x:v>
      </x:c>
      <x:c r="I48" s="30" t="str">
        <x:v>Not Run</x:v>
      </x:c>
      <x:c r="J48" s="30" t="str">
        <x:v>High</x:v>
      </x:c>
      <x:c r="K48" s="30" t="str">
        <x:v>Functional</x:v>
      </x:c>
      <x:c r="L48" s="31" t="str"/>
    </x:row>
    <x:row r="49">
      <x:c r="A49" s="29" t="str">
        <x:v>TC-048</x:v>
      </x:c>
      <x:c r="B49" s="30" t="str">
        <x:v>REQ-023</x:v>
      </x:c>
      <x:c r="C49" s="30" t="str">
        <x:v>Checkout</x:v>
      </x:c>
      <x:c r="D49" s="30" t="str">
        <x:v>Cancel from information returns to cart</x:v>
      </x:c>
      <x:c r="E49" s="30" t="str">
        <x:v>User is logged in; checkout state prepared as needed</x:v>
      </x:c>
      <x:c r="F49" s="30" t="str">
        <x:v>1. Open cart/checkout
2. Execute: Cancel from information returns to cart
3. Observe validation, overview, or confirmation</x:v>
      </x:c>
      <x:c r="G49" s="30" t="str">
        <x:v>Jane / Doe / 10001 and boundary variants</x:v>
      </x:c>
      <x:c r="H49" s="30" t="str">
        <x:v>Checkout behavior matches the scenario without inconsistent totals or state.</x:v>
      </x:c>
      <x:c r="I49" s="30" t="str">
        <x:v>Not Run</x:v>
      </x:c>
      <x:c r="J49" s="30" t="str">
        <x:v>High</x:v>
      </x:c>
      <x:c r="K49" s="30" t="str">
        <x:v>Functional</x:v>
      </x:c>
      <x:c r="L49" s="31" t="str"/>
    </x:row>
    <x:row r="50">
      <x:c r="A50" s="29" t="str">
        <x:v>TC-049</x:v>
      </x:c>
      <x:c r="B50" s="30" t="str">
        <x:v>REQ-020</x:v>
      </x:c>
      <x:c r="C50" s="30" t="str">
        <x:v>Checkout</x:v>
      </x:c>
      <x:c r="D50" s="30" t="str">
        <x:v>Cancel from overview returns to inventory</x:v>
      </x:c>
      <x:c r="E50" s="30" t="str">
        <x:v>User is logged in; checkout state prepared as needed</x:v>
      </x:c>
      <x:c r="F50" s="30" t="str">
        <x:v>1. Open cart/checkout
2. Execute: Cancel from overview returns to inventory
3. Observe validation, overview, or confirmation</x:v>
      </x:c>
      <x:c r="G50" s="30" t="str">
        <x:v>Jane / Doe / 10001 and boundary variants</x:v>
      </x:c>
      <x:c r="H50" s="30" t="str">
        <x:v>Checkout behavior matches the scenario without inconsistent totals or state.</x:v>
      </x:c>
      <x:c r="I50" s="30" t="str">
        <x:v>Not Run</x:v>
      </x:c>
      <x:c r="J50" s="30" t="str">
        <x:v>High</x:v>
      </x:c>
      <x:c r="K50" s="30" t="str">
        <x:v>Functional</x:v>
      </x:c>
      <x:c r="L50" s="31" t="str"/>
    </x:row>
    <x:row r="51">
      <x:c r="A51" s="29" t="str">
        <x:v>TC-050</x:v>
      </x:c>
      <x:c r="B51" s="30" t="str">
        <x:v>REQ-025</x:v>
      </x:c>
      <x:c r="C51" s="30" t="str">
        <x:v>Navigation &amp; UX</x:v>
      </x:c>
      <x:c r="D51" s="30" t="str">
        <x:v>Open menu</x:v>
      </x:c>
      <x:c r="E51" s="30" t="str">
        <x:v>Relevant page is open</x:v>
      </x:c>
      <x:c r="F51" s="30" t="str">
        <x:v>1. Execute navigation/usability action: Open menu
2. Observe destination, focus, or label</x:v>
      </x:c>
      <x:c r="G51" s="30" t="str">
        <x:v>N/A</x:v>
      </x:c>
      <x:c r="H51" s="30" t="str">
        <x:v>Navigation or usability behavior is clear, stable, and consistent.</x:v>
      </x:c>
      <x:c r="I51" s="30" t="str">
        <x:v>Not Run</x:v>
      </x:c>
      <x:c r="J51" s="30" t="str">
        <x:v>Medium</x:v>
      </x:c>
      <x:c r="K51" s="30" t="str">
        <x:v>Functional</x:v>
      </x:c>
      <x:c r="L51" s="31" t="str"/>
    </x:row>
    <x:row r="52">
      <x:c r="A52" s="29" t="str">
        <x:v>TC-051</x:v>
      </x:c>
      <x:c r="B52" s="30" t="str">
        <x:v>REQ-025</x:v>
      </x:c>
      <x:c r="C52" s="30" t="str">
        <x:v>Navigation &amp; UX</x:v>
      </x:c>
      <x:c r="D52" s="30" t="str">
        <x:v>Close menu</x:v>
      </x:c>
      <x:c r="E52" s="30" t="str">
        <x:v>Relevant page is open</x:v>
      </x:c>
      <x:c r="F52" s="30" t="str">
        <x:v>1. Execute navigation/usability action: Close menu
2. Observe destination, focus, or label</x:v>
      </x:c>
      <x:c r="G52" s="30" t="str">
        <x:v>N/A</x:v>
      </x:c>
      <x:c r="H52" s="30" t="str">
        <x:v>Navigation or usability behavior is clear, stable, and consistent.</x:v>
      </x:c>
      <x:c r="I52" s="30" t="str">
        <x:v>Not Run</x:v>
      </x:c>
      <x:c r="J52" s="30" t="str">
        <x:v>Medium</x:v>
      </x:c>
      <x:c r="K52" s="30" t="str">
        <x:v>Functional</x:v>
      </x:c>
      <x:c r="L52" s="31" t="str"/>
    </x:row>
    <x:row r="53">
      <x:c r="A53" s="29" t="str">
        <x:v>TC-052</x:v>
      </x:c>
      <x:c r="B53" s="30" t="str">
        <x:v>REQ-024</x:v>
      </x:c>
      <x:c r="C53" s="30" t="str">
        <x:v>Navigation &amp; UX</x:v>
      </x:c>
      <x:c r="D53" s="30" t="str">
        <x:v>All Items navigation</x:v>
      </x:c>
      <x:c r="E53" s="30" t="str">
        <x:v>Relevant page is open</x:v>
      </x:c>
      <x:c r="F53" s="30" t="str">
        <x:v>1. Execute navigation/usability action: All Items navigation
2. Observe destination, focus, or label</x:v>
      </x:c>
      <x:c r="G53" s="30" t="str">
        <x:v>N/A</x:v>
      </x:c>
      <x:c r="H53" s="30" t="str">
        <x:v>Navigation or usability behavior is clear, stable, and consistent.</x:v>
      </x:c>
      <x:c r="I53" s="30" t="str">
        <x:v>Not Run</x:v>
      </x:c>
      <x:c r="J53" s="30" t="str">
        <x:v>Medium</x:v>
      </x:c>
      <x:c r="K53" s="30" t="str">
        <x:v>Functional</x:v>
      </x:c>
      <x:c r="L53" s="31" t="str"/>
    </x:row>
    <x:row r="54">
      <x:c r="A54" s="29" t="str">
        <x:v>TC-053</x:v>
      </x:c>
      <x:c r="B54" s="30" t="str">
        <x:v>REQ-024</x:v>
      </x:c>
      <x:c r="C54" s="30" t="str">
        <x:v>Navigation &amp; UX</x:v>
      </x:c>
      <x:c r="D54" s="30" t="str">
        <x:v>Cart icon navigation</x:v>
      </x:c>
      <x:c r="E54" s="30" t="str">
        <x:v>Relevant page is open</x:v>
      </x:c>
      <x:c r="F54" s="30" t="str">
        <x:v>1. Execute navigation/usability action: Cart icon navigation
2. Observe destination, focus, or label</x:v>
      </x:c>
      <x:c r="G54" s="30" t="str">
        <x:v>N/A</x:v>
      </x:c>
      <x:c r="H54" s="30" t="str">
        <x:v>Navigation or usability behavior is clear, stable, and consistent.</x:v>
      </x:c>
      <x:c r="I54" s="30" t="str">
        <x:v>Not Run</x:v>
      </x:c>
      <x:c r="J54" s="30" t="str">
        <x:v>Medium</x:v>
      </x:c>
      <x:c r="K54" s="30" t="str">
        <x:v>Functional</x:v>
      </x:c>
      <x:c r="L54" s="31" t="str"/>
    </x:row>
    <x:row r="55">
      <x:c r="A55" s="29" t="str">
        <x:v>TC-054</x:v>
      </x:c>
      <x:c r="B55" s="30" t="str">
        <x:v>REQ-024</x:v>
      </x:c>
      <x:c r="C55" s="30" t="str">
        <x:v>Navigation &amp; UX</x:v>
      </x:c>
      <x:c r="D55" s="30" t="str">
        <x:v>Browser back from cart</x:v>
      </x:c>
      <x:c r="E55" s="30" t="str">
        <x:v>Relevant page is open</x:v>
      </x:c>
      <x:c r="F55" s="30" t="str">
        <x:v>1. Execute navigation/usability action: Browser back from cart
2. Observe destination, focus, or label</x:v>
      </x:c>
      <x:c r="G55" s="30" t="str">
        <x:v>N/A</x:v>
      </x:c>
      <x:c r="H55" s="30" t="str">
        <x:v>Navigation or usability behavior is clear, stable, and consistent.</x:v>
      </x:c>
      <x:c r="I55" s="30" t="str">
        <x:v>Not Run</x:v>
      </x:c>
      <x:c r="J55" s="30" t="str">
        <x:v>Medium</x:v>
      </x:c>
      <x:c r="K55" s="30" t="str">
        <x:v>Functional</x:v>
      </x:c>
      <x:c r="L55" s="31" t="str"/>
    </x:row>
    <x:row r="56">
      <x:c r="A56" s="29" t="str">
        <x:v>TC-055</x:v>
      </x:c>
      <x:c r="B56" s="30" t="str">
        <x:v>REQ-026</x:v>
      </x:c>
      <x:c r="C56" s="30" t="str">
        <x:v>Navigation &amp; UX</x:v>
      </x:c>
      <x:c r="D56" s="30" t="str">
        <x:v>Primary labels are visible</x:v>
      </x:c>
      <x:c r="E56" s="30" t="str">
        <x:v>Relevant page is open</x:v>
      </x:c>
      <x:c r="F56" s="30" t="str">
        <x:v>1. Execute navigation/usability action: Primary labels are visible
2. Observe destination, focus, or label</x:v>
      </x:c>
      <x:c r="G56" s="30" t="str">
        <x:v>N/A</x:v>
      </x:c>
      <x:c r="H56" s="30" t="str">
        <x:v>Navigation or usability behavior is clear, stable, and consistent.</x:v>
      </x:c>
      <x:c r="I56" s="30" t="str">
        <x:v>Not Run</x:v>
      </x:c>
      <x:c r="J56" s="30" t="str">
        <x:v>Medium</x:v>
      </x:c>
      <x:c r="K56" s="30" t="str">
        <x:v>Functional</x:v>
      </x:c>
      <x:c r="L56" s="31" t="str"/>
    </x:row>
    <x:row r="57">
      <x:c r="A57" s="29" t="str">
        <x:v>TC-056</x:v>
      </x:c>
      <x:c r="B57" s="30" t="str">
        <x:v>REQ-026</x:v>
      </x:c>
      <x:c r="C57" s="30" t="str">
        <x:v>Navigation &amp; UX</x:v>
      </x:c>
      <x:c r="D57" s="30" t="str">
        <x:v>Keyboard tab navigation on login</x:v>
      </x:c>
      <x:c r="E57" s="30" t="str">
        <x:v>Relevant page is open</x:v>
      </x:c>
      <x:c r="F57" s="30" t="str">
        <x:v>1. Execute navigation/usability action: Keyboard tab navigation on login
2. Observe destination, focus, or label</x:v>
      </x:c>
      <x:c r="G57" s="30" t="str">
        <x:v>N/A</x:v>
      </x:c>
      <x:c r="H57" s="30" t="str">
        <x:v>Navigation or usability behavior is clear, stable, and consistent.</x:v>
      </x:c>
      <x:c r="I57" s="30" t="str">
        <x:v>Not Run</x:v>
      </x:c>
      <x:c r="J57" s="30" t="str">
        <x:v>Medium</x:v>
      </x:c>
      <x:c r="K57" s="30" t="str">
        <x:v>Functional</x:v>
      </x:c>
      <x:c r="L57" s="31" t="str"/>
    </x:row>
    <x:row r="58">
      <x:c r="A58" s="29" t="str">
        <x:v>TC-057</x:v>
      </x:c>
      <x:c r="B58" s="30" t="str">
        <x:v>REQ-028</x:v>
      </x:c>
      <x:c r="C58" s="30" t="str">
        <x:v>API Products</x:v>
      </x:c>
      <x:c r="D58" s="30" t="str">
        <x:v>GET all products</x:v>
      </x:c>
      <x:c r="E58" s="30" t="str">
        <x:v>DummyJSON API is reachable</x:v>
      </x:c>
      <x:c r="F58" s="30" t="str">
        <x:v>1. Send request for scenario: GET all products
2. Validate status, body, types, and metadata</x:v>
      </x:c>
      <x:c r="G58" s="30" t="str">
        <x:v>https://dummyjson.com/products</x:v>
      </x:c>
      <x:c r="H58" s="30" t="str">
        <x:v>Response matches documented product API behavior and validations pass.</x:v>
      </x:c>
      <x:c r="I58" s="30" t="str">
        <x:v>Not Run</x:v>
      </x:c>
      <x:c r="J58" s="30" t="str">
        <x:v>High</x:v>
      </x:c>
      <x:c r="K58" s="30" t="str">
        <x:v>API</x:v>
      </x:c>
      <x:c r="L58" s="31" t="str"/>
    </x:row>
    <x:row r="59">
      <x:c r="A59" s="29" t="str">
        <x:v>TC-058</x:v>
      </x:c>
      <x:c r="B59" s="30" t="str">
        <x:v>REQ-028</x:v>
      </x:c>
      <x:c r="C59" s="30" t="str">
        <x:v>API Products</x:v>
      </x:c>
      <x:c r="D59" s="30" t="str">
        <x:v>Validate product collection fields</x:v>
      </x:c>
      <x:c r="E59" s="30" t="str">
        <x:v>DummyJSON API is reachable</x:v>
      </x:c>
      <x:c r="F59" s="30" t="str">
        <x:v>1. Send request for scenario: Validate product collection fields
2. Validate status, body, types, and metadata</x:v>
      </x:c>
      <x:c r="G59" s="30" t="str">
        <x:v>https://dummyjson.com/products</x:v>
      </x:c>
      <x:c r="H59" s="30" t="str">
        <x:v>Response matches documented product API behavior and validations pass.</x:v>
      </x:c>
      <x:c r="I59" s="30" t="str">
        <x:v>Not Run</x:v>
      </x:c>
      <x:c r="J59" s="30" t="str">
        <x:v>High</x:v>
      </x:c>
      <x:c r="K59" s="30" t="str">
        <x:v>API</x:v>
      </x:c>
      <x:c r="L59" s="31" t="str"/>
    </x:row>
    <x:row r="60">
      <x:c r="A60" s="29" t="str">
        <x:v>TC-059</x:v>
      </x:c>
      <x:c r="B60" s="30" t="str">
        <x:v>REQ-029</x:v>
      </x:c>
      <x:c r="C60" s="30" t="str">
        <x:v>API Products</x:v>
      </x:c>
      <x:c r="D60" s="30" t="str">
        <x:v>GET single valid product</x:v>
      </x:c>
      <x:c r="E60" s="30" t="str">
        <x:v>DummyJSON API is reachable</x:v>
      </x:c>
      <x:c r="F60" s="30" t="str">
        <x:v>1. Send request for scenario: GET single valid product
2. Validate status, body, types, and metadata</x:v>
      </x:c>
      <x:c r="G60" s="30" t="str">
        <x:v>https://dummyjson.com/products</x:v>
      </x:c>
      <x:c r="H60" s="30" t="str">
        <x:v>Response matches documented product API behavior and validations pass.</x:v>
      </x:c>
      <x:c r="I60" s="30" t="str">
        <x:v>Not Run</x:v>
      </x:c>
      <x:c r="J60" s="30" t="str">
        <x:v>High</x:v>
      </x:c>
      <x:c r="K60" s="30" t="str">
        <x:v>API</x:v>
      </x:c>
      <x:c r="L60" s="31" t="str"/>
    </x:row>
    <x:row r="61">
      <x:c r="A61" s="29" t="str">
        <x:v>TC-060</x:v>
      </x:c>
      <x:c r="B61" s="30" t="str">
        <x:v>REQ-031</x:v>
      </x:c>
      <x:c r="C61" s="30" t="str">
        <x:v>API Products</x:v>
      </x:c>
      <x:c r="D61" s="30" t="str">
        <x:v>GET nonexistent product</x:v>
      </x:c>
      <x:c r="E61" s="30" t="str">
        <x:v>DummyJSON API is reachable</x:v>
      </x:c>
      <x:c r="F61" s="30" t="str">
        <x:v>1. Send request for scenario: GET nonexistent product
2. Validate status, body, types, and metadata</x:v>
      </x:c>
      <x:c r="G61" s="30" t="str">
        <x:v>https://dummyjson.com/products</x:v>
      </x:c>
      <x:c r="H61" s="30" t="str">
        <x:v>Response matches documented product API behavior and validations pass.</x:v>
      </x:c>
      <x:c r="I61" s="30" t="str">
        <x:v>Not Run</x:v>
      </x:c>
      <x:c r="J61" s="30" t="str">
        <x:v>High</x:v>
      </x:c>
      <x:c r="K61" s="30" t="str">
        <x:v>API</x:v>
      </x:c>
      <x:c r="L61" s="31" t="str"/>
    </x:row>
    <x:row r="62">
      <x:c r="A62" s="29" t="str">
        <x:v>TC-061</x:v>
      </x:c>
      <x:c r="B62" s="30" t="str">
        <x:v>REQ-030</x:v>
      </x:c>
      <x:c r="C62" s="30" t="str">
        <x:v>API Products</x:v>
      </x:c>
      <x:c r="D62" s="30" t="str">
        <x:v>Search products</x:v>
      </x:c>
      <x:c r="E62" s="30" t="str">
        <x:v>DummyJSON API is reachable</x:v>
      </x:c>
      <x:c r="F62" s="30" t="str">
        <x:v>1. Send request for scenario: Search products
2. Validate status, body, types, and metadata</x:v>
      </x:c>
      <x:c r="G62" s="30" t="str">
        <x:v>https://dummyjson.com/products</x:v>
      </x:c>
      <x:c r="H62" s="30" t="str">
        <x:v>Response matches documented product API behavior and validations pass.</x:v>
      </x:c>
      <x:c r="I62" s="30" t="str">
        <x:v>Not Run</x:v>
      </x:c>
      <x:c r="J62" s="30" t="str">
        <x:v>High</x:v>
      </x:c>
      <x:c r="K62" s="30" t="str">
        <x:v>API</x:v>
      </x:c>
      <x:c r="L62" s="31" t="str"/>
    </x:row>
    <x:row r="63">
      <x:c r="A63" s="29" t="str">
        <x:v>TC-062</x:v>
      </x:c>
      <x:c r="B63" s="30" t="str">
        <x:v>REQ-030</x:v>
      </x:c>
      <x:c r="C63" s="30" t="str">
        <x:v>API Products</x:v>
      </x:c>
      <x:c r="D63" s="30" t="str">
        <x:v>Search relevance</x:v>
      </x:c>
      <x:c r="E63" s="30" t="str">
        <x:v>DummyJSON API is reachable</x:v>
      </x:c>
      <x:c r="F63" s="30" t="str">
        <x:v>1. Send request for scenario: Search relevance
2. Validate status, body, types, and metadata</x:v>
      </x:c>
      <x:c r="G63" s="30" t="str">
        <x:v>https://dummyjson.com/products</x:v>
      </x:c>
      <x:c r="H63" s="30" t="str">
        <x:v>Response matches documented product API behavior and validations pass.</x:v>
      </x:c>
      <x:c r="I63" s="30" t="str">
        <x:v>Not Run</x:v>
      </x:c>
      <x:c r="J63" s="30" t="str">
        <x:v>High</x:v>
      </x:c>
      <x:c r="K63" s="30" t="str">
        <x:v>API</x:v>
      </x:c>
      <x:c r="L63" s="31" t="str"/>
    </x:row>
    <x:row r="64">
      <x:c r="A64" s="29" t="str">
        <x:v>TC-063</x:v>
      </x:c>
      <x:c r="B64" s="30" t="str">
        <x:v>REQ-030</x:v>
      </x:c>
      <x:c r="C64" s="30" t="str">
        <x:v>API Products</x:v>
      </x:c>
      <x:c r="D64" s="30" t="str">
        <x:v>Limit pagination</x:v>
      </x:c>
      <x:c r="E64" s="30" t="str">
        <x:v>DummyJSON API is reachable</x:v>
      </x:c>
      <x:c r="F64" s="30" t="str">
        <x:v>1. Send request for scenario: Limit pagination
2. Validate status, body, types, and metadata</x:v>
      </x:c>
      <x:c r="G64" s="30" t="str">
        <x:v>https://dummyjson.com/products</x:v>
      </x:c>
      <x:c r="H64" s="30" t="str">
        <x:v>Response matches documented product API behavior and validations pass.</x:v>
      </x:c>
      <x:c r="I64" s="30" t="str">
        <x:v>Not Run</x:v>
      </x:c>
      <x:c r="J64" s="30" t="str">
        <x:v>High</x:v>
      </x:c>
      <x:c r="K64" s="30" t="str">
        <x:v>API</x:v>
      </x:c>
      <x:c r="L64" s="31" t="str"/>
    </x:row>
    <x:row r="65">
      <x:c r="A65" s="29" t="str">
        <x:v>TC-064</x:v>
      </x:c>
      <x:c r="B65" s="30" t="str">
        <x:v>REQ-030</x:v>
      </x:c>
      <x:c r="C65" s="30" t="str">
        <x:v>API Products</x:v>
      </x:c>
      <x:c r="D65" s="30" t="str">
        <x:v>Skip pagination</x:v>
      </x:c>
      <x:c r="E65" s="30" t="str">
        <x:v>DummyJSON API is reachable</x:v>
      </x:c>
      <x:c r="F65" s="30" t="str">
        <x:v>1. Send request for scenario: Skip pagination
2. Validate status, body, types, and metadata</x:v>
      </x:c>
      <x:c r="G65" s="30" t="str">
        <x:v>https://dummyjson.com/products</x:v>
      </x:c>
      <x:c r="H65" s="30" t="str">
        <x:v>Response matches documented product API behavior and validations pass.</x:v>
      </x:c>
      <x:c r="I65" s="30" t="str">
        <x:v>Not Run</x:v>
      </x:c>
      <x:c r="J65" s="30" t="str">
        <x:v>High</x:v>
      </x:c>
      <x:c r="K65" s="30" t="str">
        <x:v>API</x:v>
      </x:c>
      <x:c r="L65" s="31" t="str"/>
    </x:row>
    <x:row r="66">
      <x:c r="A66" s="29" t="str">
        <x:v>TC-065</x:v>
      </x:c>
      <x:c r="B66" s="30" t="str">
        <x:v>REQ-030</x:v>
      </x:c>
      <x:c r="C66" s="30" t="str">
        <x:v>API Products</x:v>
      </x:c>
      <x:c r="D66" s="30" t="str">
        <x:v>Sort products</x:v>
      </x:c>
      <x:c r="E66" s="30" t="str">
        <x:v>DummyJSON API is reachable</x:v>
      </x:c>
      <x:c r="F66" s="30" t="str">
        <x:v>1. Send request for scenario: Sort products
2. Validate status, body, types, and metadata</x:v>
      </x:c>
      <x:c r="G66" s="30" t="str">
        <x:v>https://dummyjson.com/products</x:v>
      </x:c>
      <x:c r="H66" s="30" t="str">
        <x:v>Response matches documented product API behavior and validations pass.</x:v>
      </x:c>
      <x:c r="I66" s="30" t="str">
        <x:v>Not Run</x:v>
      </x:c>
      <x:c r="J66" s="30" t="str">
        <x:v>High</x:v>
      </x:c>
      <x:c r="K66" s="30" t="str">
        <x:v>API</x:v>
      </x:c>
      <x:c r="L66" s="31" t="str"/>
    </x:row>
    <x:row r="67">
      <x:c r="A67" s="29" t="str">
        <x:v>TC-066</x:v>
      </x:c>
      <x:c r="B67" s="30" t="str">
        <x:v>REQ-030</x:v>
      </x:c>
      <x:c r="C67" s="30" t="str">
        <x:v>API Products</x:v>
      </x:c>
      <x:c r="D67" s="30" t="str">
        <x:v>Get categories</x:v>
      </x:c>
      <x:c r="E67" s="30" t="str">
        <x:v>DummyJSON API is reachable</x:v>
      </x:c>
      <x:c r="F67" s="30" t="str">
        <x:v>1. Send request for scenario: Get categories
2. Validate status, body, types, and metadata</x:v>
      </x:c>
      <x:c r="G67" s="30" t="str">
        <x:v>https://dummyjson.com/products</x:v>
      </x:c>
      <x:c r="H67" s="30" t="str">
        <x:v>Response matches documented product API behavior and validations pass.</x:v>
      </x:c>
      <x:c r="I67" s="30" t="str">
        <x:v>Not Run</x:v>
      </x:c>
      <x:c r="J67" s="30" t="str">
        <x:v>High</x:v>
      </x:c>
      <x:c r="K67" s="30" t="str">
        <x:v>API</x:v>
      </x:c>
      <x:c r="L67" s="31" t="str"/>
    </x:row>
    <x:row r="68">
      <x:c r="A68" s="29" t="str">
        <x:v>TC-067</x:v>
      </x:c>
      <x:c r="B68" s="30" t="str">
        <x:v>REQ-032</x:v>
      </x:c>
      <x:c r="C68" s="30" t="str">
        <x:v>API Carts</x:v>
      </x:c>
      <x:c r="D68" s="30" t="str">
        <x:v>GET all carts</x:v>
      </x:c>
      <x:c r="E68" s="30" t="str">
        <x:v>DummyJSON API is reachable</x:v>
      </x:c>
      <x:c r="F68" s="30" t="str">
        <x:v>1. Send request for scenario: GET all carts
2. Validate status, body, product quantities, totals, and user data</x:v>
      </x:c>
      <x:c r="G68" s="30" t="str">
        <x:v>https://dummyjson.com/carts</x:v>
      </x:c>
      <x:c r="H68" s="30" t="str">
        <x:v>Response matches documented cart API behavior and validations pass.</x:v>
      </x:c>
      <x:c r="I68" s="30" t="str">
        <x:v>Not Run</x:v>
      </x:c>
      <x:c r="J68" s="30" t="str">
        <x:v>High</x:v>
      </x:c>
      <x:c r="K68" s="30" t="str">
        <x:v>API</x:v>
      </x:c>
      <x:c r="L68" s="31" t="str"/>
    </x:row>
    <x:row r="69">
      <x:c r="A69" s="29" t="str">
        <x:v>TC-068</x:v>
      </x:c>
      <x:c r="B69" s="30" t="str">
        <x:v>REQ-032</x:v>
      </x:c>
      <x:c r="C69" s="30" t="str">
        <x:v>API Carts</x:v>
      </x:c>
      <x:c r="D69" s="30" t="str">
        <x:v>Validate cart collection fields</x:v>
      </x:c>
      <x:c r="E69" s="30" t="str">
        <x:v>DummyJSON API is reachable</x:v>
      </x:c>
      <x:c r="F69" s="30" t="str">
        <x:v>1. Send request for scenario: Validate cart collection fields
2. Validate status, body, product quantities, totals, and user data</x:v>
      </x:c>
      <x:c r="G69" s="30" t="str">
        <x:v>https://dummyjson.com/carts</x:v>
      </x:c>
      <x:c r="H69" s="30" t="str">
        <x:v>Response matches documented cart API behavior and validations pass.</x:v>
      </x:c>
      <x:c r="I69" s="30" t="str">
        <x:v>Not Run</x:v>
      </x:c>
      <x:c r="J69" s="30" t="str">
        <x:v>High</x:v>
      </x:c>
      <x:c r="K69" s="30" t="str">
        <x:v>API</x:v>
      </x:c>
      <x:c r="L69" s="31" t="str"/>
    </x:row>
    <x:row r="70">
      <x:c r="A70" s="29" t="str">
        <x:v>TC-069</x:v>
      </x:c>
      <x:c r="B70" s="30" t="str">
        <x:v>REQ-032</x:v>
      </x:c>
      <x:c r="C70" s="30" t="str">
        <x:v>API Carts</x:v>
      </x:c>
      <x:c r="D70" s="30" t="str">
        <x:v>GET single valid cart</x:v>
      </x:c>
      <x:c r="E70" s="30" t="str">
        <x:v>DummyJSON API is reachable</x:v>
      </x:c>
      <x:c r="F70" s="30" t="str">
        <x:v>1. Send request for scenario: GET single valid cart
2. Validate status, body, product quantities, totals, and user data</x:v>
      </x:c>
      <x:c r="G70" s="30" t="str">
        <x:v>https://dummyjson.com/carts</x:v>
      </x:c>
      <x:c r="H70" s="30" t="str">
        <x:v>Response matches documented cart API behavior and validations pass.</x:v>
      </x:c>
      <x:c r="I70" s="30" t="str">
        <x:v>Not Run</x:v>
      </x:c>
      <x:c r="J70" s="30" t="str">
        <x:v>High</x:v>
      </x:c>
      <x:c r="K70" s="30" t="str">
        <x:v>API</x:v>
      </x:c>
      <x:c r="L70" s="31" t="str"/>
    </x:row>
    <x:row r="71">
      <x:c r="A71" s="29" t="str">
        <x:v>TC-070</x:v>
      </x:c>
      <x:c r="B71" s="30" t="str">
        <x:v>REQ-034</x:v>
      </x:c>
      <x:c r="C71" s="30" t="str">
        <x:v>API Carts</x:v>
      </x:c>
      <x:c r="D71" s="30" t="str">
        <x:v>GET carts by user</x:v>
      </x:c>
      <x:c r="E71" s="30" t="str">
        <x:v>DummyJSON API is reachable</x:v>
      </x:c>
      <x:c r="F71" s="30" t="str">
        <x:v>1. Send request for scenario: GET carts by user
2. Validate status, body, product quantities, totals, and user data</x:v>
      </x:c>
      <x:c r="G71" s="30" t="str">
        <x:v>https://dummyjson.com/carts</x:v>
      </x:c>
      <x:c r="H71" s="30" t="str">
        <x:v>Response matches documented cart API behavior and validations pass.</x:v>
      </x:c>
      <x:c r="I71" s="30" t="str">
        <x:v>Not Run</x:v>
      </x:c>
      <x:c r="J71" s="30" t="str">
        <x:v>High</x:v>
      </x:c>
      <x:c r="K71" s="30" t="str">
        <x:v>API</x:v>
      </x:c>
      <x:c r="L71" s="31" t="str"/>
    </x:row>
    <x:row r="72">
      <x:c r="A72" s="29" t="str">
        <x:v>TC-071</x:v>
      </x:c>
      <x:c r="B72" s="30" t="str">
        <x:v>REQ-033</x:v>
      </x:c>
      <x:c r="C72" s="30" t="str">
        <x:v>API Carts</x:v>
      </x:c>
      <x:c r="D72" s="30" t="str">
        <x:v>Add simulated cart</x:v>
      </x:c>
      <x:c r="E72" s="30" t="str">
        <x:v>DummyJSON API is reachable</x:v>
      </x:c>
      <x:c r="F72" s="30" t="str">
        <x:v>1. Send request for scenario: Add simulated cart
2. Validate status, body, product quantities, totals, and user data</x:v>
      </x:c>
      <x:c r="G72" s="30" t="str">
        <x:v>https://dummyjson.com/carts</x:v>
      </x:c>
      <x:c r="H72" s="30" t="str">
        <x:v>Response matches documented cart API behavior and validations pass.</x:v>
      </x:c>
      <x:c r="I72" s="30" t="str">
        <x:v>Not Run</x:v>
      </x:c>
      <x:c r="J72" s="30" t="str">
        <x:v>High</x:v>
      </x:c>
      <x:c r="K72" s="30" t="str">
        <x:v>API</x:v>
      </x:c>
      <x:c r="L72" s="31" t="str"/>
    </x:row>
    <x:row r="73">
      <x:c r="A73" s="29" t="str">
        <x:v>TC-072</x:v>
      </x:c>
      <x:c r="B73" s="30" t="str">
        <x:v>REQ-033</x:v>
      </x:c>
      <x:c r="C73" s="30" t="str">
        <x:v>API Carts</x:v>
      </x:c>
      <x:c r="D73" s="30" t="str">
        <x:v>Added cart user ID</x:v>
      </x:c>
      <x:c r="E73" s="30" t="str">
        <x:v>DummyJSON API is reachable</x:v>
      </x:c>
      <x:c r="F73" s="30" t="str">
        <x:v>1. Send request for scenario: Added cart user ID
2. Validate status, body, product quantities, totals, and user data</x:v>
      </x:c>
      <x:c r="G73" s="30" t="str">
        <x:v>https://dummyjson.com/carts</x:v>
      </x:c>
      <x:c r="H73" s="30" t="str">
        <x:v>Response matches documented cart API behavior and validations pass.</x:v>
      </x:c>
      <x:c r="I73" s="30" t="str">
        <x:v>Not Run</x:v>
      </x:c>
      <x:c r="J73" s="30" t="str">
        <x:v>High</x:v>
      </x:c>
      <x:c r="K73" s="30" t="str">
        <x:v>API</x:v>
      </x:c>
      <x:c r="L73" s="31" t="str"/>
    </x:row>
    <x:row r="74">
      <x:c r="A74" s="29" t="str">
        <x:v>TC-073</x:v>
      </x:c>
      <x:c r="B74" s="30" t="str">
        <x:v>REQ-033</x:v>
      </x:c>
      <x:c r="C74" s="30" t="str">
        <x:v>API Carts</x:v>
      </x:c>
      <x:c r="D74" s="30" t="str">
        <x:v>Added cart products</x:v>
      </x:c>
      <x:c r="E74" s="30" t="str">
        <x:v>DummyJSON API is reachable</x:v>
      </x:c>
      <x:c r="F74" s="30" t="str">
        <x:v>1. Send request for scenario: Added cart products
2. Validate status, body, product quantities, totals, and user data</x:v>
      </x:c>
      <x:c r="G74" s="30" t="str">
        <x:v>https://dummyjson.com/carts</x:v>
      </x:c>
      <x:c r="H74" s="30" t="str">
        <x:v>Response matches documented cart API behavior and validations pass.</x:v>
      </x:c>
      <x:c r="I74" s="30" t="str">
        <x:v>Not Run</x:v>
      </x:c>
      <x:c r="J74" s="30" t="str">
        <x:v>High</x:v>
      </x:c>
      <x:c r="K74" s="30" t="str">
        <x:v>API</x:v>
      </x:c>
      <x:c r="L74" s="31" t="str"/>
    </x:row>
    <x:row r="75">
      <x:c r="A75" s="29" t="str">
        <x:v>TC-074</x:v>
      </x:c>
      <x:c r="B75" s="30" t="str">
        <x:v>REQ-032</x:v>
      </x:c>
      <x:c r="C75" s="30" t="str">
        <x:v>API Carts</x:v>
      </x:c>
      <x:c r="D75" s="30" t="str">
        <x:v>Invalid cart identifier</x:v>
      </x:c>
      <x:c r="E75" s="30" t="str">
        <x:v>DummyJSON API is reachable</x:v>
      </x:c>
      <x:c r="F75" s="30" t="str">
        <x:v>1. Send request for scenario: Invalid cart identifier
2. Validate status, body, product quantities, totals, and user data</x:v>
      </x:c>
      <x:c r="G75" s="30" t="str">
        <x:v>https://dummyjson.com/carts</x:v>
      </x:c>
      <x:c r="H75" s="30" t="str">
        <x:v>Response matches documented cart API behavior and validations pass.</x:v>
      </x:c>
      <x:c r="I75" s="30" t="str">
        <x:v>Not Run</x:v>
      </x:c>
      <x:c r="J75" s="30" t="str">
        <x:v>High</x:v>
      </x:c>
      <x:c r="K75" s="30" t="str">
        <x:v>API</x:v>
      </x:c>
      <x:c r="L75" s="31" t="str"/>
    </x:row>
    <x:row r="76">
      <x:c r="A76" s="29" t="str">
        <x:v>TC-075</x:v>
      </x:c>
      <x:c r="B76" s="30" t="str">
        <x:v>REQ-035</x:v>
      </x:c>
      <x:c r="C76" s="30" t="str">
        <x:v>Database Validation</x:v>
      </x:c>
      <x:c r="D76" s="30" t="str">
        <x:v>Lookup user by email</x:v>
      </x:c>
      <x:c r="E76" s="30" t="str">
        <x:v>Sample PostgreSQL schema and seed data are loaded</x:v>
      </x:c>
      <x:c r="F76" s="30" t="str">
        <x:v>1. Execute SQL validation: Lookup user by email
2. Review returned rows and integrity conditions</x:v>
      </x:c>
      <x:c r="G76" s="30" t="str">
        <x:v>Sample QA database</x:v>
      </x:c>
      <x:c r="H76" s="30" t="str">
        <x:v>Query returns the intended validation result with no unexpected integrity issue.</x:v>
      </x:c>
      <x:c r="I76" s="30" t="str">
        <x:v>Not Run</x:v>
      </x:c>
      <x:c r="J76" s="30" t="str">
        <x:v>Medium</x:v>
      </x:c>
      <x:c r="K76" s="30" t="str">
        <x:v>Functional</x:v>
      </x:c>
      <x:c r="L76" s="31" t="str"/>
    </x:row>
    <x:row r="77">
      <x:c r="A77" s="29" t="str">
        <x:v>TC-076</x:v>
      </x:c>
      <x:c r="B77" s="30" t="str">
        <x:v>REQ-035</x:v>
      </x:c>
      <x:c r="C77" s="30" t="str">
        <x:v>Database Validation</x:v>
      </x:c>
      <x:c r="D77" s="30" t="str">
        <x:v>Join cart items with products</x:v>
      </x:c>
      <x:c r="E77" s="30" t="str">
        <x:v>Sample PostgreSQL schema and seed data are loaded</x:v>
      </x:c>
      <x:c r="F77" s="30" t="str">
        <x:v>1. Execute SQL validation: Join cart items with products
2. Review returned rows and integrity conditions</x:v>
      </x:c>
      <x:c r="G77" s="30" t="str">
        <x:v>Sample QA database</x:v>
      </x:c>
      <x:c r="H77" s="30" t="str">
        <x:v>Query returns the intended validation result with no unexpected integrity issue.</x:v>
      </x:c>
      <x:c r="I77" s="30" t="str">
        <x:v>Not Run</x:v>
      </x:c>
      <x:c r="J77" s="30" t="str">
        <x:v>Medium</x:v>
      </x:c>
      <x:c r="K77" s="30" t="str">
        <x:v>Functional</x:v>
      </x:c>
      <x:c r="L77" s="31" t="str"/>
    </x:row>
    <x:row r="78">
      <x:c r="A78" s="29" t="str">
        <x:v>TC-077</x:v>
      </x:c>
      <x:c r="B78" s="30" t="str">
        <x:v>REQ-035</x:v>
      </x:c>
      <x:c r="C78" s="30" t="str">
        <x:v>Database Validation</x:v>
      </x:c>
      <x:c r="D78" s="30" t="str">
        <x:v>Recalculate order subtotal</x:v>
      </x:c>
      <x:c r="E78" s="30" t="str">
        <x:v>Sample PostgreSQL schema and seed data are loaded</x:v>
      </x:c>
      <x:c r="F78" s="30" t="str">
        <x:v>1. Execute SQL validation: Recalculate order subtotal
2. Review returned rows and integrity conditions</x:v>
      </x:c>
      <x:c r="G78" s="30" t="str">
        <x:v>Sample QA database</x:v>
      </x:c>
      <x:c r="H78" s="30" t="str">
        <x:v>Query returns the intended validation result with no unexpected integrity issue.</x:v>
      </x:c>
      <x:c r="I78" s="30" t="str">
        <x:v>Not Run</x:v>
      </x:c>
      <x:c r="J78" s="30" t="str">
        <x:v>Medium</x:v>
      </x:c>
      <x:c r="K78" s="30" t="str">
        <x:v>Functional</x:v>
      </x:c>
      <x:c r="L78" s="31" t="str"/>
    </x:row>
    <x:row r="79">
      <x:c r="A79" s="29" t="str">
        <x:v>TC-078</x:v>
      </x:c>
      <x:c r="B79" s="30" t="str">
        <x:v>REQ-035</x:v>
      </x:c>
      <x:c r="C79" s="30" t="str">
        <x:v>Database Validation</x:v>
      </x:c>
      <x:c r="D79" s="30" t="str">
        <x:v>Detect duplicate emails</x:v>
      </x:c>
      <x:c r="E79" s="30" t="str">
        <x:v>Sample PostgreSQL schema and seed data are loaded</x:v>
      </x:c>
      <x:c r="F79" s="30" t="str">
        <x:v>1. Execute SQL validation: Detect duplicate emails
2. Review returned rows and integrity conditions</x:v>
      </x:c>
      <x:c r="G79" s="30" t="str">
        <x:v>Sample QA database</x:v>
      </x:c>
      <x:c r="H79" s="30" t="str">
        <x:v>Query returns the intended validation result with no unexpected integrity issue.</x:v>
      </x:c>
      <x:c r="I79" s="30" t="str">
        <x:v>Not Run</x:v>
      </x:c>
      <x:c r="J79" s="30" t="str">
        <x:v>Medium</x:v>
      </x:c>
      <x:c r="K79" s="30" t="str">
        <x:v>Functional</x:v>
      </x:c>
      <x:c r="L79" s="31" t="str"/>
    </x:row>
    <x:row r="80">
      <x:c r="A80" s="29" t="str">
        <x:v>TC-079</x:v>
      </x:c>
      <x:c r="B80" s="30" t="str">
        <x:v>REQ-035</x:v>
      </x:c>
      <x:c r="C80" s="30" t="str">
        <x:v>Database Validation</x:v>
      </x:c>
      <x:c r="D80" s="30" t="str">
        <x:v>Detect orphan cart items</x:v>
      </x:c>
      <x:c r="E80" s="30" t="str">
        <x:v>Sample PostgreSQL schema and seed data are loaded</x:v>
      </x:c>
      <x:c r="F80" s="30" t="str">
        <x:v>1. Execute SQL validation: Detect orphan cart items
2. Review returned rows and integrity conditions</x:v>
      </x:c>
      <x:c r="G80" s="30" t="str">
        <x:v>Sample QA database</x:v>
      </x:c>
      <x:c r="H80" s="30" t="str">
        <x:v>Query returns the intended validation result with no unexpected integrity issue.</x:v>
      </x:c>
      <x:c r="I80" s="30" t="str">
        <x:v>Not Run</x:v>
      </x:c>
      <x:c r="J80" s="30" t="str">
        <x:v>Medium</x:v>
      </x:c>
      <x:c r="K80" s="30" t="str">
        <x:v>Functional</x:v>
      </x:c>
      <x:c r="L80" s="31" t="str"/>
    </x:row>
    <x:row r="81">
      <x:c r="A81" s="29" t="str">
        <x:v>TC-080</x:v>
      </x:c>
      <x:c r="B81" s="30" t="str">
        <x:v>REQ-035</x:v>
      </x:c>
      <x:c r="C81" s="30" t="str">
        <x:v>Database Validation</x:v>
      </x:c>
      <x:c r="D81" s="30" t="str">
        <x:v>Check product stock sanity</x:v>
      </x:c>
      <x:c r="E81" s="30" t="str">
        <x:v>Sample PostgreSQL schema and seed data are loaded</x:v>
      </x:c>
      <x:c r="F81" s="30" t="str">
        <x:v>1. Execute SQL validation: Check product stock sanity
2. Review returned rows and integrity conditions</x:v>
      </x:c>
      <x:c r="G81" s="30" t="str">
        <x:v>Sample QA database</x:v>
      </x:c>
      <x:c r="H81" s="30" t="str">
        <x:v>Query returns the intended validation result with no unexpected integrity issue.</x:v>
      </x:c>
      <x:c r="I81" s="30" t="str">
        <x:v>Not Run</x:v>
      </x:c>
      <x:c r="J81" s="30" t="str">
        <x:v>Medium</x:v>
      </x:c>
      <x:c r="K81" s="30" t="str">
        <x:v>Functional</x:v>
      </x:c>
      <x:c r="L81" s="31" t="str"/>
    </x:row>
    <x:row r="82">
      <x:c r="A82" s="29" t="str">
        <x:v>TC-081</x:v>
      </x:c>
      <x:c r="B82" s="30" t="str">
        <x:v>REQ-001</x:v>
      </x:c>
      <x:c r="C82" s="30" t="str">
        <x:v>Authentication</x:v>
      </x:c>
      <x:c r="D82" s="30" t="str">
        <x:v>Login using Enter key</x:v>
      </x:c>
      <x:c r="E82" s="30" t="str">
        <x:v>Valid login fields are filled</x:v>
      </x:c>
      <x:c r="F82" s="30" t="str">
        <x:v>Press Enter from password field</x:v>
      </x:c>
      <x:c r="G82" s="30" t="str">
        <x:v>Valid credentials</x:v>
      </x:c>
      <x:c r="H82" s="30" t="str">
        <x:v>Login submits successfully</x:v>
      </x:c>
      <x:c r="I82" s="30" t="str">
        <x:v>Not Run</x:v>
      </x:c>
      <x:c r="J82" s="30" t="str">
        <x:v>Medium</x:v>
      </x:c>
      <x:c r="K82" s="30" t="str">
        <x:v>Usability</x:v>
      </x:c>
      <x:c r="L82" s="31" t="str"/>
    </x:row>
    <x:row r="83">
      <x:c r="A83" s="29" t="str">
        <x:v>TC-082</x:v>
      </x:c>
      <x:c r="B83" s="30" t="str">
        <x:v>REQ-002</x:v>
      </x:c>
      <x:c r="C83" s="30" t="str">
        <x:v>Authentication</x:v>
      </x:c>
      <x:c r="D83" s="30" t="str">
        <x:v>Username with leading/trailing spaces</x:v>
      </x:c>
      <x:c r="E83" s="30" t="str">
        <x:v>Login page open</x:v>
      </x:c>
      <x:c r="F83" s="30" t="str">
        <x:v>Enter spaces around valid username and submit</x:v>
      </x:c>
      <x:c r="G83" s="30" t="str">
        <x:v>  standard_user  </x:v>
      </x:c>
      <x:c r="H83" s="30" t="str">
        <x:v>Behavior is consistent and does not authenticate unintended input</x:v>
      </x:c>
      <x:c r="I83" s="30" t="str">
        <x:v>Not Run</x:v>
      </x:c>
      <x:c r="J83" s="30" t="str">
        <x:v>Medium</x:v>
      </x:c>
      <x:c r="K83" s="30" t="str">
        <x:v>Negative</x:v>
      </x:c>
      <x:c r="L83" s="31" t="str"/>
    </x:row>
    <x:row r="84">
      <x:c r="A84" s="29" t="str">
        <x:v>TC-083</x:v>
      </x:c>
      <x:c r="B84" s="30" t="str">
        <x:v>REQ-002</x:v>
      </x:c>
      <x:c r="C84" s="30" t="str">
        <x:v>Authentication</x:v>
      </x:c>
      <x:c r="D84" s="30" t="str">
        <x:v>Password case sensitivity</x:v>
      </x:c>
      <x:c r="E84" s="30" t="str">
        <x:v>Login page open</x:v>
      </x:c>
      <x:c r="F84" s="30" t="str">
        <x:v>Change password letter case and submit</x:v>
      </x:c>
      <x:c r="G84" s="30" t="str">
        <x:v>Changed-case password</x:v>
      </x:c>
      <x:c r="H84" s="30" t="str">
        <x:v>Login is rejected</x:v>
      </x:c>
      <x:c r="I84" s="30" t="str">
        <x:v>Not Run</x:v>
      </x:c>
      <x:c r="J84" s="30" t="str">
        <x:v>High</x:v>
      </x:c>
      <x:c r="K84" s="30" t="str">
        <x:v>Negative</x:v>
      </x:c>
      <x:c r="L84" s="31" t="str"/>
    </x:row>
    <x:row r="85">
      <x:c r="A85" s="29" t="str">
        <x:v>TC-084</x:v>
      </x:c>
      <x:c r="B85" s="30" t="str">
        <x:v>REQ-002</x:v>
      </x:c>
      <x:c r="C85" s="30" t="str">
        <x:v>Authentication</x:v>
      </x:c>
      <x:c r="D85" s="30" t="str">
        <x:v>Very long username</x:v>
      </x:c>
      <x:c r="E85" s="30" t="str">
        <x:v>Login page open</x:v>
      </x:c>
      <x:c r="F85" s="30" t="str">
        <x:v>Enter a 256-character username and submit</x:v>
      </x:c>
      <x:c r="G85" s="30" t="str">
        <x:v>256 characters</x:v>
      </x:c>
      <x:c r="H85" s="30" t="str">
        <x:v>Application handles input without crash</x:v>
      </x:c>
      <x:c r="I85" s="30" t="str">
        <x:v>Not Run</x:v>
      </x:c>
      <x:c r="J85" s="30" t="str">
        <x:v>Medium</x:v>
      </x:c>
      <x:c r="K85" s="30" t="str">
        <x:v>Boundary</x:v>
      </x:c>
      <x:c r="L85" s="31" t="str"/>
    </x:row>
    <x:row r="86">
      <x:c r="A86" s="29" t="str">
        <x:v>TC-085</x:v>
      </x:c>
      <x:c r="B86" s="30" t="str">
        <x:v>REQ-002</x:v>
      </x:c>
      <x:c r="C86" s="30" t="str">
        <x:v>Authentication</x:v>
      </x:c>
      <x:c r="D86" s="30" t="str">
        <x:v>Special characters in username</x:v>
      </x:c>
      <x:c r="E86" s="30" t="str">
        <x:v>Login page open</x:v>
      </x:c>
      <x:c r="F86" s="30" t="str">
        <x:v>Enter special characters and submit</x:v>
      </x:c>
      <x:c r="G86" s="30" t="str">
        <x:v>!@#$%^&amp;*()</x:v>
      </x:c>
      <x:c r="H86" s="30" t="str">
        <x:v>Application rejects invalid credentials safely</x:v>
      </x:c>
      <x:c r="I86" s="30" t="str">
        <x:v>Not Run</x:v>
      </x:c>
      <x:c r="J86" s="30" t="str">
        <x:v>Medium</x:v>
      </x:c>
      <x:c r="K86" s="30" t="str">
        <x:v>Negative</x:v>
      </x:c>
      <x:c r="L86" s="31" t="str"/>
    </x:row>
    <x:row r="87">
      <x:c r="A87" s="29" t="str">
        <x:v>TC-086</x:v>
      </x:c>
      <x:c r="B87" s="30" t="str">
        <x:v>REQ-026</x:v>
      </x:c>
      <x:c r="C87" s="30" t="str">
        <x:v>Authentication</x:v>
      </x:c>
      <x:c r="D87" s="30" t="str">
        <x:v>Password field masking</x:v>
      </x:c>
      <x:c r="E87" s="30" t="str">
        <x:v>Login page open</x:v>
      </x:c>
      <x:c r="F87" s="30" t="str">
        <x:v>Type password and inspect rendering</x:v>
      </x:c>
      <x:c r="G87" s="30" t="str">
        <x:v>Configured password</x:v>
      </x:c>
      <x:c r="H87" s="30" t="str">
        <x:v>Password is not shown as plain text</x:v>
      </x:c>
      <x:c r="I87" s="30" t="str">
        <x:v>Not Run</x:v>
      </x:c>
      <x:c r="J87" s="30" t="str">
        <x:v>High</x:v>
      </x:c>
      <x:c r="K87" s="30" t="str">
        <x:v>Usability/Security</x:v>
      </x:c>
      <x:c r="L87" s="31" t="str"/>
    </x:row>
    <x:row r="88">
      <x:c r="A88" s="29" t="str">
        <x:v>TC-087</x:v>
      </x:c>
      <x:c r="B88" s="30" t="str">
        <x:v>REQ-004</x:v>
      </x:c>
      <x:c r="C88" s="30" t="str">
        <x:v>Authentication</x:v>
      </x:c>
      <x:c r="D88" s="30" t="str">
        <x:v>Back button after logout</x:v>
      </x:c>
      <x:c r="E88" s="30" t="str">
        <x:v>User has logged out</x:v>
      </x:c>
      <x:c r="F88" s="30" t="str">
        <x:v>Use browser Back</x:v>
      </x:c>
      <x:c r="G88" s="30" t="str">
        <x:v>N/A</x:v>
      </x:c>
      <x:c r="H88" s="30" t="str">
        <x:v>Protected session is not restored as usable authenticated state</x:v>
      </x:c>
      <x:c r="I88" s="30" t="str">
        <x:v>Not Run</x:v>
      </x:c>
      <x:c r="J88" s="30" t="str">
        <x:v>High</x:v>
      </x:c>
      <x:c r="K88" s="30" t="str">
        <x:v>Security/Functional</x:v>
      </x:c>
      <x:c r="L88" s="31" t="str"/>
    </x:row>
    <x:row r="89">
      <x:c r="A89" s="29" t="str">
        <x:v>TC-088</x:v>
      </x:c>
      <x:c r="B89" s="30" t="str">
        <x:v>REQ-006</x:v>
      </x:c>
      <x:c r="C89" s="30" t="str">
        <x:v>Product Catalog</x:v>
      </x:c>
      <x:c r="D89" s="30" t="str">
        <x:v>Inventory contains at least one item</x:v>
      </x:c>
      <x:c r="E89" s="30" t="str">
        <x:v>Logged in</x:v>
      </x:c>
      <x:c r="F89" s="30" t="str">
        <x:v>Count product cards</x:v>
      </x:c>
      <x:c r="G89" s="30" t="str">
        <x:v>N/A</x:v>
      </x:c>
      <x:c r="H89" s="30" t="str">
        <x:v>At least one product card is visible</x:v>
      </x:c>
      <x:c r="I89" s="30" t="str">
        <x:v>Not Run</x:v>
      </x:c>
      <x:c r="J89" s="30" t="str">
        <x:v>High</x:v>
      </x:c>
      <x:c r="K89" s="30" t="str">
        <x:v>Smoke</x:v>
      </x:c>
      <x:c r="L89" s="31" t="str"/>
    </x:row>
    <x:row r="90">
      <x:c r="A90" s="29" t="str">
        <x:v>TC-089</x:v>
      </x:c>
      <x:c r="B90" s="30" t="str">
        <x:v>REQ-008</x:v>
      </x:c>
      <x:c r="C90" s="30" t="str">
        <x:v>Product Catalog</x:v>
      </x:c>
      <x:c r="D90" s="30" t="str">
        <x:v>Detail name matches inventory</x:v>
      </x:c>
      <x:c r="E90" s="30" t="str">
        <x:v>Logged in</x:v>
      </x:c>
      <x:c r="F90" s="30" t="str">
        <x:v>Capture name, open detail, compare</x:v>
      </x:c>
      <x:c r="G90" s="30" t="str">
        <x:v>First product</x:v>
      </x:c>
      <x:c r="H90" s="30" t="str">
        <x:v>Names match</x:v>
      </x:c>
      <x:c r="I90" s="30" t="str">
        <x:v>Not Run</x:v>
      </x:c>
      <x:c r="J90" s="30" t="str">
        <x:v>Medium</x:v>
      </x:c>
      <x:c r="K90" s="30" t="str">
        <x:v>Functional</x:v>
      </x:c>
      <x:c r="L90" s="31" t="str"/>
    </x:row>
    <x:row r="91">
      <x:c r="A91" s="29" t="str">
        <x:v>TC-090</x:v>
      </x:c>
      <x:c r="B91" s="30" t="str">
        <x:v>REQ-008</x:v>
      </x:c>
      <x:c r="C91" s="30" t="str">
        <x:v>Product Catalog</x:v>
      </x:c>
      <x:c r="D91" s="30" t="str">
        <x:v>Detail price matches inventory</x:v>
      </x:c>
      <x:c r="E91" s="30" t="str">
        <x:v>Logged in</x:v>
      </x:c>
      <x:c r="F91" s="30" t="str">
        <x:v>Capture price, open detail, compare</x:v>
      </x:c>
      <x:c r="G91" s="30" t="str">
        <x:v>First product</x:v>
      </x:c>
      <x:c r="H91" s="30" t="str">
        <x:v>Prices match</x:v>
      </x:c>
      <x:c r="I91" s="30" t="str">
        <x:v>Not Run</x:v>
      </x:c>
      <x:c r="J91" s="30" t="str">
        <x:v>High</x:v>
      </x:c>
      <x:c r="K91" s="30" t="str">
        <x:v>Functional</x:v>
      </x:c>
      <x:c r="L91" s="31" t="str"/>
    </x:row>
    <x:row r="92">
      <x:c r="A92" s="29" t="str">
        <x:v>TC-091</x:v>
      </x:c>
      <x:c r="B92" s="30" t="str">
        <x:v>REQ-008</x:v>
      </x:c>
      <x:c r="C92" s="30" t="str">
        <x:v>Product Catalog</x:v>
      </x:c>
      <x:c r="D92" s="30" t="str">
        <x:v>Detail description is visible</x:v>
      </x:c>
      <x:c r="E92" s="30" t="str">
        <x:v>Detail open</x:v>
      </x:c>
      <x:c r="F92" s="30" t="str">
        <x:v>Inspect description</x:v>
      </x:c>
      <x:c r="G92" s="30" t="str">
        <x:v>N/A</x:v>
      </x:c>
      <x:c r="H92" s="30" t="str">
        <x:v>Description is visible</x:v>
      </x:c>
      <x:c r="I92" s="30" t="str">
        <x:v>Not Run</x:v>
      </x:c>
      <x:c r="J92" s="30" t="str">
        <x:v>Low</x:v>
      </x:c>
      <x:c r="K92" s="30" t="str">
        <x:v>Functional</x:v>
      </x:c>
      <x:c r="L92" s="31" t="str"/>
    </x:row>
    <x:row r="93">
      <x:c r="A93" s="29" t="str">
        <x:v>TC-092</x:v>
      </x:c>
      <x:c r="B93" s="30" t="str">
        <x:v>REQ-008</x:v>
      </x:c>
      <x:c r="C93" s="30" t="str">
        <x:v>Product Catalog</x:v>
      </x:c>
      <x:c r="D93" s="30" t="str">
        <x:v>Detail image is visible</x:v>
      </x:c>
      <x:c r="E93" s="30" t="str">
        <x:v>Detail open</x:v>
      </x:c>
      <x:c r="F93" s="30" t="str">
        <x:v>Inspect image</x:v>
      </x:c>
      <x:c r="G93" s="30" t="str">
        <x:v>N/A</x:v>
      </x:c>
      <x:c r="H93" s="30" t="str">
        <x:v>Image is visible</x:v>
      </x:c>
      <x:c r="I93" s="30" t="str">
        <x:v>Not Run</x:v>
      </x:c>
      <x:c r="J93" s="30" t="str">
        <x:v>Low</x:v>
      </x:c>
      <x:c r="K93" s="30" t="str">
        <x:v>Functional</x:v>
      </x:c>
      <x:c r="L93" s="31" t="str"/>
    </x:row>
    <x:row r="94">
      <x:c r="A94" s="29" t="str">
        <x:v>TC-093</x:v>
      </x:c>
      <x:c r="B94" s="30" t="str">
        <x:v>REQ-026</x:v>
      </x:c>
      <x:c r="C94" s="30" t="str">
        <x:v>Product Catalog</x:v>
      </x:c>
      <x:c r="D94" s="30" t="str">
        <x:v>Add-to-cart labels are visible</x:v>
      </x:c>
      <x:c r="E94" s="30" t="str">
        <x:v>Inventory open</x:v>
      </x:c>
      <x:c r="F94" s="30" t="str">
        <x:v>Inspect product action buttons</x:v>
      </x:c>
      <x:c r="G94" s="30" t="str">
        <x:v>N/A</x:v>
      </x:c>
      <x:c r="H94" s="30" t="str">
        <x:v>Action labels are clear</x:v>
      </x:c>
      <x:c r="I94" s="30" t="str">
        <x:v>Not Run</x:v>
      </x:c>
      <x:c r="J94" s="30" t="str">
        <x:v>Medium</x:v>
      </x:c>
      <x:c r="K94" s="30" t="str">
        <x:v>Usability</x:v>
      </x:c>
      <x:c r="L94" s="31" t="str"/>
    </x:row>
    <x:row r="95">
      <x:c r="A95" s="29" t="str">
        <x:v>TC-094</x:v>
      </x:c>
      <x:c r="B95" s="30" t="str">
        <x:v>REQ-027</x:v>
      </x:c>
      <x:c r="C95" s="30" t="str">
        <x:v>Product Catalog</x:v>
      </x:c>
      <x:c r="D95" s="30" t="str">
        <x:v>Inventory smoke on WebKit</x:v>
      </x:c>
      <x:c r="E95" s="30" t="str">
        <x:v>Playwright browsers installed</x:v>
      </x:c>
      <x:c r="F95" s="30" t="str">
        <x:v>Run smoke test on WebKit</x:v>
      </x:c>
      <x:c r="G95" s="30" t="str">
        <x:v>N/A</x:v>
      </x:c>
      <x:c r="H95" s="30" t="str">
        <x:v>Critical inventory smoke executes and result is reported</x:v>
      </x:c>
      <x:c r="I95" s="30" t="str">
        <x:v>Not Run</x:v>
      </x:c>
      <x:c r="J95" s="30" t="str">
        <x:v>Medium</x:v>
      </x:c>
      <x:c r="K95" s="30" t="str">
        <x:v>Compatibility</x:v>
      </x:c>
      <x:c r="L95" s="31" t="str"/>
    </x:row>
    <x:row r="96">
      <x:c r="A96" s="29" t="str">
        <x:v>TC-095</x:v>
      </x:c>
      <x:c r="B96" s="30" t="str">
        <x:v>REQ-012</x:v>
      </x:c>
      <x:c r="C96" s="30" t="str">
        <x:v>Shopping Cart</x:v>
      </x:c>
      <x:c r="D96" s="30" t="str">
        <x:v>Add all visible products</x:v>
      </x:c>
      <x:c r="E96" s="30" t="str">
        <x:v>Cart empty</x:v>
      </x:c>
      <x:c r="F96" s="30" t="str">
        <x:v>Add each visible product</x:v>
      </x:c>
      <x:c r="G96" s="30" t="str">
        <x:v>All visible products</x:v>
      </x:c>
      <x:c r="H96" s="30" t="str">
        <x:v>Badge equals number added</x:v>
      </x:c>
      <x:c r="I96" s="30" t="str">
        <x:v>Not Run</x:v>
      </x:c>
      <x:c r="J96" s="30" t="str">
        <x:v>Medium</x:v>
      </x:c>
      <x:c r="K96" s="30" t="str">
        <x:v>Boundary</x:v>
      </x:c>
      <x:c r="L96" s="31" t="str"/>
    </x:row>
    <x:row r="97">
      <x:c r="A97" s="29" t="str">
        <x:v>TC-096</x:v>
      </x:c>
      <x:c r="B97" s="30" t="str">
        <x:v>REQ-014</x:v>
      </x:c>
      <x:c r="C97" s="30" t="str">
        <x:v>Shopping Cart</x:v>
      </x:c>
      <x:c r="D97" s="30" t="str">
        <x:v>Remove all products one-by-one</x:v>
      </x:c>
      <x:c r="E97" s="30" t="str">
        <x:v>Multiple products added</x:v>
      </x:c>
      <x:c r="F97" s="30" t="str">
        <x:v>Remove each item from cart</x:v>
      </x:c>
      <x:c r="G97" s="30" t="str">
        <x:v>Multiple products</x:v>
      </x:c>
      <x:c r="H97" s="30" t="str">
        <x:v>Cart becomes empty and badge disappears</x:v>
      </x:c>
      <x:c r="I97" s="30" t="str">
        <x:v>Not Run</x:v>
      </x:c>
      <x:c r="J97" s="30" t="str">
        <x:v>High</x:v>
      </x:c>
      <x:c r="K97" s="30" t="str">
        <x:v>Regression</x:v>
      </x:c>
      <x:c r="L97" s="31" t="str"/>
    </x:row>
    <x:row r="98">
      <x:c r="A98" s="29" t="str">
        <x:v>TC-097</x:v>
      </x:c>
      <x:c r="B98" s="30" t="str">
        <x:v>REQ-011</x:v>
      </x:c>
      <x:c r="C98" s="30" t="str">
        <x:v>Shopping Cart</x:v>
      </x:c>
      <x:c r="D98" s="30" t="str">
        <x:v>Add from product detail</x:v>
      </x:c>
      <x:c r="E98" s="30" t="str">
        <x:v>Detail open; item absent</x:v>
      </x:c>
      <x:c r="F98" s="30" t="str">
        <x:v>Click Add to cart</x:v>
      </x:c>
      <x:c r="G98" s="30" t="str">
        <x:v>Current product</x:v>
      </x:c>
      <x:c r="H98" s="30" t="str">
        <x:v>Product is added and badge updates</x:v>
      </x:c>
      <x:c r="I98" s="30" t="str">
        <x:v>Not Run</x:v>
      </x:c>
      <x:c r="J98" s="30" t="str">
        <x:v>High</x:v>
      </x:c>
      <x:c r="K98" s="30" t="str">
        <x:v>Functional</x:v>
      </x:c>
      <x:c r="L98" s="31" t="str"/>
    </x:row>
    <x:row r="99">
      <x:c r="A99" s="29" t="str">
        <x:v>TC-098</x:v>
      </x:c>
      <x:c r="B99" s="30" t="str">
        <x:v>REQ-014</x:v>
      </x:c>
      <x:c r="C99" s="30" t="str">
        <x:v>Shopping Cart</x:v>
      </x:c>
      <x:c r="D99" s="30" t="str">
        <x:v>Remove from product detail</x:v>
      </x:c>
      <x:c r="E99" s="30" t="str">
        <x:v>Detail open; item added</x:v>
      </x:c>
      <x:c r="F99" s="30" t="str">
        <x:v>Click Remove</x:v>
      </x:c>
      <x:c r="G99" s="30" t="str">
        <x:v>Current product</x:v>
      </x:c>
      <x:c r="H99" s="30" t="str">
        <x:v>Product is removed and badge updates</x:v>
      </x:c>
      <x:c r="I99" s="30" t="str">
        <x:v>Not Run</x:v>
      </x:c>
      <x:c r="J99" s="30" t="str">
        <x:v>Medium</x:v>
      </x:c>
      <x:c r="K99" s="30" t="str">
        <x:v>Functional</x:v>
      </x:c>
      <x:c r="L99" s="31" t="str"/>
    </x:row>
    <x:row r="100">
      <x:c r="A100" s="29" t="str">
        <x:v>TC-099</x:v>
      </x:c>
      <x:c r="B100" s="30" t="str">
        <x:v>REQ-014</x:v>
      </x:c>
      <x:c r="C100" s="30" t="str">
        <x:v>Shopping Cart</x:v>
      </x:c>
      <x:c r="D100" s="30" t="str">
        <x:v>Remove one of three decrements once</x:v>
      </x:c>
      <x:c r="E100" s="30" t="str">
        <x:v>Three items added</x:v>
      </x:c>
      <x:c r="F100" s="30" t="str">
        <x:v>Remove one item</x:v>
      </x:c>
      <x:c r="G100" s="30" t="str">
        <x:v>Three products</x:v>
      </x:c>
      <x:c r="H100" s="30" t="str">
        <x:v>Badge moves from 3 to 2</x:v>
      </x:c>
      <x:c r="I100" s="30" t="str">
        <x:v>Not Run</x:v>
      </x:c>
      <x:c r="J100" s="30" t="str">
        <x:v>High</x:v>
      </x:c>
      <x:c r="K100" s="30" t="str">
        <x:v>Functional</x:v>
      </x:c>
      <x:c r="L100" s="31" t="str"/>
    </x:row>
    <x:row r="101">
      <x:c r="A101" s="29" t="str">
        <x:v>TC-100</x:v>
      </x:c>
      <x:c r="B101" s="30" t="str">
        <x:v>REQ-012</x:v>
      </x:c>
      <x:c r="C101" s="30" t="str">
        <x:v>Shopping Cart</x:v>
      </x:c>
      <x:c r="D101" s="30" t="str">
        <x:v>Re-add a removed product</x:v>
      </x:c>
      <x:c r="E101" s="30" t="str">
        <x:v>Product was added then removed</x:v>
      </x:c>
      <x:c r="F101" s="30" t="str">
        <x:v>Add same product again</x:v>
      </x:c>
      <x:c r="G101" s="30" t="str">
        <x:v>Same product</x:v>
      </x:c>
      <x:c r="H101" s="30" t="str">
        <x:v>Product can be added again</x:v>
      </x:c>
      <x:c r="I101" s="30" t="str">
        <x:v>Not Run</x:v>
      </x:c>
      <x:c r="J101" s="30" t="str">
        <x:v>Medium</x:v>
      </x:c>
      <x:c r="K101" s="30" t="str">
        <x:v>Regression</x:v>
      </x:c>
      <x:c r="L101" s="31" t="str"/>
    </x:row>
    <x:row r="102">
      <x:c r="A102" s="29" t="str">
        <x:v>TC-101</x:v>
      </x:c>
      <x:c r="B102" s="30" t="str">
        <x:v>REQ-024</x:v>
      </x:c>
      <x:c r="C102" s="30" t="str">
        <x:v>Shopping Cart</x:v>
      </x:c>
      <x:c r="D102" s="30" t="str">
        <x:v>Cart icon works from detail</x:v>
      </x:c>
      <x:c r="E102" s="30" t="str">
        <x:v>Product detail open</x:v>
      </x:c>
      <x:c r="F102" s="30" t="str">
        <x:v>Click cart icon</x:v>
      </x:c>
      <x:c r="G102" s="30" t="str">
        <x:v>N/A</x:v>
      </x:c>
      <x:c r="H102" s="30" t="str">
        <x:v>Cart page opens</x:v>
      </x:c>
      <x:c r="I102" s="30" t="str">
        <x:v>Not Run</x:v>
      </x:c>
      <x:c r="J102" s="30" t="str">
        <x:v>Medium</x:v>
      </x:c>
      <x:c r="K102" s="30" t="str">
        <x:v>Navigation</x:v>
      </x:c>
      <x:c r="L102" s="31" t="str"/>
    </x:row>
    <x:row r="103">
      <x:c r="A103" s="29" t="str">
        <x:v>TC-102</x:v>
      </x:c>
      <x:c r="B103" s="30" t="str">
        <x:v>REQ-026</x:v>
      </x:c>
      <x:c r="C103" s="30" t="str">
        <x:v>Shopping Cart</x:v>
      </x:c>
      <x:c r="D103" s="30" t="str">
        <x:v>Continue Shopping control visible</x:v>
      </x:c>
      <x:c r="E103" s="30" t="str">
        <x:v>Cart open</x:v>
      </x:c>
      <x:c r="F103" s="30" t="str">
        <x:v>Inspect controls</x:v>
      </x:c>
      <x:c r="G103" s="30" t="str">
        <x:v>N/A</x:v>
      </x:c>
      <x:c r="H103" s="30" t="str">
        <x:v>Continue Shopping is visible and actionable</x:v>
      </x:c>
      <x:c r="I103" s="30" t="str">
        <x:v>Not Run</x:v>
      </x:c>
      <x:c r="J103" s="30" t="str">
        <x:v>Low</x:v>
      </x:c>
      <x:c r="K103" s="30" t="str">
        <x:v>Usability</x:v>
      </x:c>
      <x:c r="L103" s="31" t="str"/>
    </x:row>
    <x:row r="104">
      <x:c r="A104" s="29" t="str">
        <x:v>TC-103</x:v>
      </x:c>
      <x:c r="B104" s="30" t="str">
        <x:v>REQ-026</x:v>
      </x:c>
      <x:c r="C104" s="30" t="str">
        <x:v>Shopping Cart</x:v>
      </x:c>
      <x:c r="D104" s="30" t="str">
        <x:v>Checkout control visible</x:v>
      </x:c>
      <x:c r="E104" s="30" t="str">
        <x:v>Cart open</x:v>
      </x:c>
      <x:c r="F104" s="30" t="str">
        <x:v>Inspect controls</x:v>
      </x:c>
      <x:c r="G104" s="30" t="str">
        <x:v>N/A</x:v>
      </x:c>
      <x:c r="H104" s="30" t="str">
        <x:v>Checkout is visible and actionable</x:v>
      </x:c>
      <x:c r="I104" s="30" t="str">
        <x:v>Not Run</x:v>
      </x:c>
      <x:c r="J104" s="30" t="str">
        <x:v>High</x:v>
      </x:c>
      <x:c r="K104" s="30" t="str">
        <x:v>Usability</x:v>
      </x:c>
      <x:c r="L104" s="31" t="str"/>
    </x:row>
    <x:row r="105">
      <x:c r="A105" s="29" t="str">
        <x:v>TC-104</x:v>
      </x:c>
      <x:c r="B105" s="30" t="str">
        <x:v>REQ-018</x:v>
      </x:c>
      <x:c r="C105" s="30" t="str">
        <x:v>Checkout</x:v>
      </x:c>
      <x:c r="D105" s="30" t="str">
        <x:v>Names with hyphen/apostrophe</x:v>
      </x:c>
      <x:c r="E105" s="30" t="str">
        <x:v>Checkout form open</x:v>
      </x:c>
      <x:c r="F105" s="30" t="str">
        <x:v>Enter Anne-Marie / O'Neil / 10001 and continue</x:v>
      </x:c>
      <x:c r="G105" s="30" t="str">
        <x:v>Anne-Marie / O'Neil / 10001</x:v>
      </x:c>
      <x:c r="H105" s="30" t="str">
        <x:v>Input is handled without crash and behavior is documented</x:v>
      </x:c>
      <x:c r="I105" s="30" t="str">
        <x:v>Not Run</x:v>
      </x:c>
      <x:c r="J105" s="30" t="str">
        <x:v>Medium</x:v>
      </x:c>
      <x:c r="K105" s="30" t="str">
        <x:v>Boundary</x:v>
      </x:c>
      <x:c r="L105" s="31" t="str"/>
    </x:row>
    <x:row r="106">
      <x:c r="A106" s="29" t="str">
        <x:v>TC-105</x:v>
      </x:c>
      <x:c r="B106" s="30" t="str">
        <x:v>REQ-018</x:v>
      </x:c>
      <x:c r="C106" s="30" t="str">
        <x:v>Checkout</x:v>
      </x:c>
      <x:c r="D106" s="30" t="str">
        <x:v>Long customer name</x:v>
      </x:c>
      <x:c r="E106" s="30" t="str">
        <x:v>Checkout form open</x:v>
      </x:c>
      <x:c r="F106" s="30" t="str">
        <x:v>Enter 100-character first name and continue</x:v>
      </x:c>
      <x:c r="G106" s="30" t="str">
        <x:v>100-char first name</x:v>
      </x:c>
      <x:c r="H106" s="30" t="str">
        <x:v>Input is handled gracefully</x:v>
      </x:c>
      <x:c r="I106" s="30" t="str">
        <x:v>Not Run</x:v>
      </x:c>
      <x:c r="J106" s="30" t="str">
        <x:v>Medium</x:v>
      </x:c>
      <x:c r="K106" s="30" t="str">
        <x:v>Boundary</x:v>
      </x:c>
      <x:c r="L106" s="31" t="str"/>
    </x:row>
    <x:row r="107">
      <x:c r="A107" s="29" t="str">
        <x:v>TC-106</x:v>
      </x:c>
      <x:c r="B107" s="30" t="str">
        <x:v>REQ-018</x:v>
      </x:c>
      <x:c r="C107" s="30" t="str">
        <x:v>Checkout</x:v>
      </x:c>
      <x:c r="D107" s="30" t="str">
        <x:v>Alphanumeric postal code</x:v>
      </x:c>
      <x:c r="E107" s="30" t="str">
        <x:v>Checkout form open</x:v>
      </x:c>
      <x:c r="F107" s="30" t="str">
        <x:v>Enter SW1A1AA and continue</x:v>
      </x:c>
      <x:c r="G107" s="30" t="str">
        <x:v>SW1A1AA</x:v>
      </x:c>
      <x:c r="H107" s="30" t="str">
        <x:v>Behavior is stable and documented</x:v>
      </x:c>
      <x:c r="I107" s="30" t="str">
        <x:v>Not Run</x:v>
      </x:c>
      <x:c r="J107" s="30" t="str">
        <x:v>Low</x:v>
      </x:c>
      <x:c r="K107" s="30" t="str">
        <x:v>Boundary</x:v>
      </x:c>
      <x:c r="L107" s="31" t="str"/>
    </x:row>
    <x:row r="108">
      <x:c r="A108" s="29" t="str">
        <x:v>TC-107</x:v>
      </x:c>
      <x:c r="B108" s="30" t="str">
        <x:v>REQ-021</x:v>
      </x:c>
      <x:c r="C108" s="30" t="str">
        <x:v>Checkout</x:v>
      </x:c>
      <x:c r="D108" s="30" t="str">
        <x:v>Final total arithmetic</x:v>
      </x:c>
      <x:c r="E108" s="30" t="str">
        <x:v>Overview open</x:v>
      </x:c>
      <x:c r="F108" s="30" t="str">
        <x:v>Parse item total, tax, total and compare</x:v>
      </x:c>
      <x:c r="G108" s="30" t="str">
        <x:v>Displayed amounts</x:v>
      </x:c>
      <x:c r="H108" s="30" t="str">
        <x:v>Final total equals item total plus tax within rounding</x:v>
      </x:c>
      <x:c r="I108" s="30" t="str">
        <x:v>Not Run</x:v>
      </x:c>
      <x:c r="J108" s="30" t="str">
        <x:v>High</x:v>
      </x:c>
      <x:c r="K108" s="30" t="str">
        <x:v>Calculation</x:v>
      </x:c>
      <x:c r="L108" s="31" t="str"/>
    </x:row>
    <x:row r="109">
      <x:c r="A109" s="29" t="str">
        <x:v>TC-108</x:v>
      </x:c>
      <x:c r="B109" s="30" t="str">
        <x:v>REQ-022</x:v>
      </x:c>
      <x:c r="C109" s="30" t="str">
        <x:v>Checkout</x:v>
      </x:c>
      <x:c r="D109" s="30" t="str">
        <x:v>Confirmation headline visible</x:v>
      </x:c>
      <x:c r="E109" s="30" t="str">
        <x:v>Order completed</x:v>
      </x:c>
      <x:c r="F109" s="30" t="str">
        <x:v>Inspect confirmation headline</x:v>
      </x:c>
      <x:c r="G109" s="30" t="str">
        <x:v>N/A</x:v>
      </x:c>
      <x:c r="H109" s="30" t="str">
        <x:v>Success headline is visible</x:v>
      </x:c>
      <x:c r="I109" s="30" t="str">
        <x:v>Not Run</x:v>
      </x:c>
      <x:c r="J109" s="30" t="str">
        <x:v>High</x:v>
      </x:c>
      <x:c r="K109" s="30" t="str">
        <x:v>Functional</x:v>
      </x:c>
      <x:c r="L109" s="31" t="str"/>
    </x:row>
    <x:row r="110">
      <x:c r="A110" s="29" t="str">
        <x:v>TC-109</x:v>
      </x:c>
      <x:c r="B110" s="30" t="str">
        <x:v>REQ-022</x:v>
      </x:c>
      <x:c r="C110" s="30" t="str">
        <x:v>Checkout</x:v>
      </x:c>
      <x:c r="D110" s="30" t="str">
        <x:v>Confirmation message visible</x:v>
      </x:c>
      <x:c r="E110" s="30" t="str">
        <x:v>Order completed</x:v>
      </x:c>
      <x:c r="F110" s="30" t="str">
        <x:v>Inspect confirmation message</x:v>
      </x:c>
      <x:c r="G110" s="30" t="str">
        <x:v>N/A</x:v>
      </x:c>
      <x:c r="H110" s="30" t="str">
        <x:v>Completion message is visible</x:v>
      </x:c>
      <x:c r="I110" s="30" t="str">
        <x:v>Not Run</x:v>
      </x:c>
      <x:c r="J110" s="30" t="str">
        <x:v>Medium</x:v>
      </x:c>
      <x:c r="K110" s="30" t="str">
        <x:v>Functional</x:v>
      </x:c>
      <x:c r="L110" s="31" t="str"/>
    </x:row>
    <x:row r="111">
      <x:c r="A111" s="29" t="str">
        <x:v>TC-110</x:v>
      </x:c>
      <x:c r="B111" s="30" t="str">
        <x:v>REQ-015</x:v>
      </x:c>
      <x:c r="C111" s="30" t="str">
        <x:v>Checkout</x:v>
      </x:c>
      <x:c r="D111" s="30" t="str">
        <x:v>Cart resets after purchase</x:v>
      </x:c>
      <x:c r="E111" s="30" t="str">
        <x:v>Order completed</x:v>
      </x:c>
      <x:c r="F111" s="30" t="str">
        <x:v>Back Home and inspect badge</x:v>
      </x:c>
      <x:c r="G111" s="30" t="str">
        <x:v>N/A</x:v>
      </x:c>
      <x:c r="H111" s="30" t="str">
        <x:v>Purchased cart is empty/reset</x:v>
      </x:c>
      <x:c r="I111" s="30" t="str">
        <x:v>Not Run</x:v>
      </x:c>
      <x:c r="J111" s="30" t="str">
        <x:v>High</x:v>
      </x:c>
      <x:c r="K111" s="30" t="str">
        <x:v>Regression</x:v>
      </x:c>
      <x:c r="L111" s="31" t="str"/>
    </x:row>
    <x:row r="112">
      <x:c r="A112" s="29" t="str">
        <x:v>TC-111</x:v>
      </x:c>
      <x:c r="B112" s="30" t="str">
        <x:v>REQ-017</x:v>
      </x:c>
      <x:c r="C112" s="30" t="str">
        <x:v>Checkout</x:v>
      </x:c>
      <x:c r="D112" s="30" t="str">
        <x:v>Empty-cart checkout stability</x:v>
      </x:c>
      <x:c r="E112" s="30" t="str">
        <x:v>Logged in; cart empty</x:v>
      </x:c>
      <x:c r="F112" s="30" t="str">
        <x:v>Open cart and attempt checkout if enabled</x:v>
      </x:c>
      <x:c r="G112" s="30" t="str">
        <x:v>N/A</x:v>
      </x:c>
      <x:c r="H112" s="30" t="str">
        <x:v>No crash; actual behavior is documented</x:v>
      </x:c>
      <x:c r="I112" s="30" t="str">
        <x:v>Not Run</x:v>
      </x:c>
      <x:c r="J112" s="30" t="str">
        <x:v>Medium</x:v>
      </x:c>
      <x:c r="K112" s="30" t="str">
        <x:v>Exploratory</x:v>
      </x:c>
      <x:c r="L112" s="31" t="str"/>
    </x:row>
    <x:row r="113">
      <x:c r="A113" s="29" t="str">
        <x:v>TC-112</x:v>
      </x:c>
      <x:c r="B113" s="30" t="str">
        <x:v>REQ-018</x:v>
      </x:c>
      <x:c r="C113" s="30" t="str">
        <x:v>Checkout</x:v>
      </x:c>
      <x:c r="D113" s="30" t="str">
        <x:v>Whitespace in customer fields</x:v>
      </x:c>
      <x:c r="E113" s="30" t="str">
        <x:v>Checkout form open</x:v>
      </x:c>
      <x:c r="F113" s="30" t="str">
        <x:v>Enter values with leading/trailing spaces</x:v>
      </x:c>
      <x:c r="G113" s="30" t="str">
        <x:v>  Jane  /  Doe  /  10001  </x:v>
      </x:c>
      <x:c r="H113" s="30" t="str">
        <x:v>Behavior is consistent and documented</x:v>
      </x:c>
      <x:c r="I113" s="30" t="str">
        <x:v>Not Run</x:v>
      </x:c>
      <x:c r="J113" s="30" t="str">
        <x:v>Low</x:v>
      </x:c>
      <x:c r="K113" s="30" t="str">
        <x:v>Boundary</x:v>
      </x:c>
      <x:c r="L113" s="31" t="str"/>
    </x:row>
    <x:row r="114">
      <x:c r="A114" s="29" t="str">
        <x:v>TC-113</x:v>
      </x:c>
      <x:c r="B114" s="30" t="str">
        <x:v>REQ-019</x:v>
      </x:c>
      <x:c r="C114" s="30" t="str">
        <x:v>Checkout</x:v>
      </x:c>
      <x:c r="D114" s="30" t="str">
        <x:v>Only first name entered</x:v>
      </x:c>
      <x:c r="E114" s="30" t="str">
        <x:v>Checkout form open</x:v>
      </x:c>
      <x:c r="F114" s="30" t="str">
        <x:v>Enter first name only and continue</x:v>
      </x:c>
      <x:c r="G114" s="30" t="str">
        <x:v>Jane</x:v>
      </x:c>
      <x:c r="H114" s="30" t="str">
        <x:v>Missing-field validation is shown</x:v>
      </x:c>
      <x:c r="I114" s="30" t="str">
        <x:v>Not Run</x:v>
      </x:c>
      <x:c r="J114" s="30" t="str">
        <x:v>Medium</x:v>
      </x:c>
      <x:c r="K114" s="30" t="str">
        <x:v>Negative</x:v>
      </x:c>
      <x:c r="L114" s="31" t="str"/>
    </x:row>
    <x:row r="115">
      <x:c r="A115" s="29" t="str">
        <x:v>TC-114</x:v>
      </x:c>
      <x:c r="B115" s="30" t="str">
        <x:v>REQ-019</x:v>
      </x:c>
      <x:c r="C115" s="30" t="str">
        <x:v>Checkout</x:v>
      </x:c>
      <x:c r="D115" s="30" t="str">
        <x:v>Only postal code entered</x:v>
      </x:c>
      <x:c r="E115" s="30" t="str">
        <x:v>Checkout form open</x:v>
      </x:c>
      <x:c r="F115" s="30" t="str">
        <x:v>Enter postal only and continue</x:v>
      </x:c>
      <x:c r="G115" s="30" t="str">
        <x:v>10001</x:v>
      </x:c>
      <x:c r="H115" s="30" t="str">
        <x:v>Required-name validation is shown</x:v>
      </x:c>
      <x:c r="I115" s="30" t="str">
        <x:v>Not Run</x:v>
      </x:c>
      <x:c r="J115" s="30" t="str">
        <x:v>Medium</x:v>
      </x:c>
      <x:c r="K115" s="30" t="str">
        <x:v>Negative</x:v>
      </x:c>
      <x:c r="L115" s="31" t="str"/>
    </x:row>
    <x:row r="116">
      <x:c r="A116" s="29" t="str">
        <x:v>TC-115</x:v>
      </x:c>
      <x:c r="B116" s="30" t="str">
        <x:v>REQ-020</x:v>
      </x:c>
      <x:c r="C116" s="30" t="str">
        <x:v>Checkout</x:v>
      </x:c>
      <x:c r="D116" s="30" t="str">
        <x:v>Back/forward checkout consistency</x:v>
      </x:c>
      <x:c r="E116" s="30" t="str">
        <x:v>Overview open</x:v>
      </x:c>
      <x:c r="F116" s="30" t="str">
        <x:v>Browser Back then Forward</x:v>
      </x:c>
      <x:c r="G116" s="30" t="str">
        <x:v>N/A</x:v>
      </x:c>
      <x:c r="H116" s="30" t="str">
        <x:v>Checkout state remains coherent or redirects safely</x:v>
      </x:c>
      <x:c r="I116" s="30" t="str">
        <x:v>Not Run</x:v>
      </x:c>
      <x:c r="J116" s="30" t="str">
        <x:v>Medium</x:v>
      </x:c>
      <x:c r="K116" s="30" t="str">
        <x:v>Regression</x:v>
      </x:c>
      <x:c r="L116" s="31" t="str"/>
    </x:row>
    <x:row r="117">
      <x:c r="A117" s="29" t="str">
        <x:v>TC-116</x:v>
      </x:c>
      <x:c r="B117" s="30" t="str">
        <x:v>REQ-026</x:v>
      </x:c>
      <x:c r="C117" s="30" t="str">
        <x:v>Navigation &amp; UX</x:v>
      </x:c>
      <x:c r="D117" s="30" t="str">
        <x:v>Checkout form tab order</x:v>
      </x:c>
      <x:c r="E117" s="30" t="str">
        <x:v>Checkout form open</x:v>
      </x:c>
      <x:c r="F117" s="30" t="str">
        <x:v>Press Tab repeatedly</x:v>
      </x:c>
      <x:c r="G117" s="30" t="str">
        <x:v>N/A</x:v>
      </x:c>
      <x:c r="H117" s="30" t="str">
        <x:v>Focus reaches fields and actions in a usable order</x:v>
      </x:c>
      <x:c r="I117" s="30" t="str">
        <x:v>Not Run</x:v>
      </x:c>
      <x:c r="J117" s="30" t="str">
        <x:v>Low</x:v>
      </x:c>
      <x:c r="K117" s="30" t="str">
        <x:v>Accessibility/Usability</x:v>
      </x:c>
      <x:c r="L117" s="31" t="str"/>
    </x:row>
    <x:row r="118">
      <x:c r="A118" s="29" t="str">
        <x:v>TC-117</x:v>
      </x:c>
      <x:c r="B118" s="30" t="str">
        <x:v>REQ-026</x:v>
      </x:c>
      <x:c r="C118" s="30" t="str">
        <x:v>Navigation &amp; UX</x:v>
      </x:c>
      <x:c r="D118" s="30" t="str">
        <x:v>Readable login error</x:v>
      </x:c>
      <x:c r="E118" s="30" t="str">
        <x:v>Trigger invalid login</x:v>
      </x:c>
      <x:c r="F118" s="30" t="str">
        <x:v>Inspect error text</x:v>
      </x:c>
      <x:c r="G118" s="30" t="str">
        <x:v>Invalid credentials</x:v>
      </x:c>
      <x:c r="H118" s="30" t="str">
        <x:v>Error is visible and understandable</x:v>
      </x:c>
      <x:c r="I118" s="30" t="str">
        <x:v>Not Run</x:v>
      </x:c>
      <x:c r="J118" s="30" t="str">
        <x:v>Medium</x:v>
      </x:c>
      <x:c r="K118" s="30" t="str">
        <x:v>Usability</x:v>
      </x:c>
      <x:c r="L118" s="31" t="str"/>
    </x:row>
    <x:row r="119">
      <x:c r="A119" s="29" t="str">
        <x:v>TC-118</x:v>
      </x:c>
      <x:c r="B119" s="30" t="str">
        <x:v>REQ-027</x:v>
      </x:c>
      <x:c r="C119" s="30" t="str">
        <x:v>Navigation &amp; UX</x:v>
      </x:c>
      <x:c r="D119" s="30" t="str">
        <x:v>Chromium critical journey</x:v>
      </x:c>
      <x:c r="E119" s="30" t="str">
        <x:v>Playwright installed</x:v>
      </x:c>
      <x:c r="F119" s="30" t="str">
        <x:v>Run @smoke on Chromium</x:v>
      </x:c>
      <x:c r="G119" s="30" t="str">
        <x:v>N/A</x:v>
      </x:c>
      <x:c r="H119" s="30" t="str">
        <x:v>Critical journey result is produced</x:v>
      </x:c>
      <x:c r="I119" s="30" t="str">
        <x:v>Not Run</x:v>
      </x:c>
      <x:c r="J119" s="30" t="str">
        <x:v>Medium</x:v>
      </x:c>
      <x:c r="K119" s="30" t="str">
        <x:v>Compatibility</x:v>
      </x:c>
      <x:c r="L119" s="31" t="str"/>
    </x:row>
    <x:row r="120">
      <x:c r="A120" s="29" t="str">
        <x:v>TC-119</x:v>
      </x:c>
      <x:c r="B120" s="30" t="str">
        <x:v>REQ-027</x:v>
      </x:c>
      <x:c r="C120" s="30" t="str">
        <x:v>Navigation &amp; UX</x:v>
      </x:c>
      <x:c r="D120" s="30" t="str">
        <x:v>Firefox critical journey</x:v>
      </x:c>
      <x:c r="E120" s="30" t="str">
        <x:v>Playwright installed</x:v>
      </x:c>
      <x:c r="F120" s="30" t="str">
        <x:v>Run @smoke on Firefox</x:v>
      </x:c>
      <x:c r="G120" s="30" t="str">
        <x:v>N/A</x:v>
      </x:c>
      <x:c r="H120" s="30" t="str">
        <x:v>Critical journey result is produced</x:v>
      </x:c>
      <x:c r="I120" s="30" t="str">
        <x:v>Not Run</x:v>
      </x:c>
      <x:c r="J120" s="30" t="str">
        <x:v>Medium</x:v>
      </x:c>
      <x:c r="K120" s="30" t="str">
        <x:v>Compatibility</x:v>
      </x:c>
      <x:c r="L120" s="31" t="str"/>
    </x:row>
    <x:row r="121">
      <x:c r="A121" s="29" t="str">
        <x:v>TC-120</x:v>
      </x:c>
      <x:c r="B121" s="30" t="str">
        <x:v>REQ-028</x:v>
      </x:c>
      <x:c r="C121" s="30" t="str">
        <x:v>API Products</x:v>
      </x:c>
      <x:c r="D121" s="30" t="str">
        <x:v>Product object has required fields</x:v>
      </x:c>
      <x:c r="E121" s="30" t="str">
        <x:v>GET /products successful</x:v>
      </x:c>
      <x:c r="F121" s="30" t="str">
        <x:v>Validate id/title/price/category types</x:v>
      </x:c>
      <x:c r="G121" s="30" t="str">
        <x:v>First product</x:v>
      </x:c>
      <x:c r="H121" s="30" t="str">
        <x:v>Required fields exist with expected types</x:v>
      </x:c>
      <x:c r="I121" s="30" t="str">
        <x:v>Not Run</x:v>
      </x:c>
      <x:c r="J121" s="30" t="str">
        <x:v>High</x:v>
      </x:c>
      <x:c r="K121" s="30" t="str">
        <x:v>API</x:v>
      </x:c>
      <x:c r="L121" s="31" t="str"/>
    </x:row>
    <x:row r="122">
      <x:c r="A122" s="29" t="str">
        <x:v>TC-121</x:v>
      </x:c>
      <x:c r="B122" s="30" t="str">
        <x:v>REQ-031</x:v>
      </x:c>
      <x:c r="C122" s="30" t="str">
        <x:v>API Products</x:v>
      </x:c>
      <x:c r="D122" s="30" t="str">
        <x:v>Invalid product ID format</x:v>
      </x:c>
      <x:c r="E122" s="30" t="str">
        <x:v>API reachable</x:v>
      </x:c>
      <x:c r="F122" s="30" t="str">
        <x:v>GET /products/abc</x:v>
      </x:c>
      <x:c r="G122" s="30" t="str">
        <x:v>abc</x:v>
      </x:c>
      <x:c r="H122" s="30" t="str">
        <x:v>Controlled non-success behavior</x:v>
      </x:c>
      <x:c r="I122" s="30" t="str">
        <x:v>Not Run</x:v>
      </x:c>
      <x:c r="J122" s="30" t="str">
        <x:v>Low</x:v>
      </x:c>
      <x:c r="K122" s="30" t="str">
        <x:v>API Negative</x:v>
      </x:c>
      <x:c r="L122" s="31" t="str"/>
    </x:row>
    <x:row r="123">
      <x:c r="A123" s="29" t="str">
        <x:v>TC-122</x:v>
      </x:c>
      <x:c r="B123" s="30" t="str">
        <x:v>REQ-030</x:v>
      </x:c>
      <x:c r="C123" s="30" t="str">
        <x:v>API Products</x:v>
      </x:c>
      <x:c r="D123" s="30" t="str">
        <x:v>Category product consistency</x:v>
      </x:c>
      <x:c r="E123" s="30" t="str">
        <x:v>Known category exists</x:v>
      </x:c>
      <x:c r="F123" s="30" t="str">
        <x:v>GET /products/category/beauty and inspect all categories</x:v>
      </x:c>
      <x:c r="G123" s="30" t="str">
        <x:v>beauty</x:v>
      </x:c>
      <x:c r="H123" s="30" t="str">
        <x:v>Returned products match requested category</x:v>
      </x:c>
      <x:c r="I123" s="30" t="str">
        <x:v>Not Run</x:v>
      </x:c>
      <x:c r="J123" s="30" t="str">
        <x:v>Medium</x:v>
      </x:c>
      <x:c r="K123" s="30" t="str">
        <x:v>API</x:v>
      </x:c>
      <x:c r="L123" s="31" t="str"/>
    </x:row>
    <x:row r="124">
      <x:c r="A124" s="29" t="str">
        <x:v>TC-123</x:v>
      </x:c>
      <x:c r="B124" s="30" t="str">
        <x:v>REQ-032</x:v>
      </x:c>
      <x:c r="C124" s="30" t="str">
        <x:v>API Carts</x:v>
      </x:c>
      <x:c r="D124" s="30" t="str">
        <x:v>Cart numeric totals</x:v>
      </x:c>
      <x:c r="E124" s="30" t="str">
        <x:v>GET cart successful</x:v>
      </x:c>
      <x:c r="F124" s="30" t="str">
        <x:v>Validate total and discountedTotal are numeric/nonnegative</x:v>
      </x:c>
      <x:c r="G124" s="30" t="str">
        <x:v>Cart 1</x:v>
      </x:c>
      <x:c r="H124" s="30" t="str">
        <x:v>Totals are numeric and nonnegative</x:v>
      </x:c>
      <x:c r="I124" s="30" t="str">
        <x:v>Not Run</x:v>
      </x:c>
      <x:c r="J124" s="30" t="str">
        <x:v>Medium</x:v>
      </x:c>
      <x:c r="K124" s="30" t="str">
        <x:v>API</x:v>
      </x:c>
      <x:c r="L124" s="31" t="str"/>
    </x:row>
    <x:row r="125">
      <x:c r="A125" s="29" t="str">
        <x:v>TC-124</x:v>
      </x:c>
      <x:c r="B125" s="30" t="str">
        <x:v>REQ-032</x:v>
      </x:c>
      <x:c r="C125" s="30" t="str">
        <x:v>API Carts</x:v>
      </x:c>
      <x:c r="D125" s="30" t="str">
        <x:v>Cart positive quantities</x:v>
      </x:c>
      <x:c r="E125" s="30" t="str">
        <x:v>GET cart successful</x:v>
      </x:c>
      <x:c r="F125" s="30" t="str">
        <x:v>Validate all product quantities</x:v>
      </x:c>
      <x:c r="G125" s="30" t="str">
        <x:v>Cart 1</x:v>
      </x:c>
      <x:c r="H125" s="30" t="str">
        <x:v>Quantities are positive integers</x:v>
      </x:c>
      <x:c r="I125" s="30" t="str">
        <x:v>Not Run</x:v>
      </x:c>
      <x:c r="J125" s="30" t="str">
        <x:v>Medium</x:v>
      </x:c>
      <x:c r="K125" s="30" t="str">
        <x:v>API</x:v>
      </x:c>
      <x:c r="L125" s="31" t="str"/>
    </x:row>
    <x:row r="126">
      <x:c r="A126" s="29" t="str">
        <x:v>TC-125</x:v>
      </x:c>
      <x:c r="B126" s="30" t="str">
        <x:v>REQ-032</x:v>
      </x:c>
      <x:c r="C126" s="30" t="str">
        <x:v>API Carts</x:v>
      </x:c>
      <x:c r="D126" s="30" t="str">
        <x:v>Invalid cart ID</x:v>
      </x:c>
      <x:c r="E126" s="30" t="str">
        <x:v>API reachable</x:v>
      </x:c>
      <x:c r="F126" s="30" t="str">
        <x:v>GET /carts/999999</x:v>
      </x:c>
      <x:c r="G126" s="30" t="str">
        <x:v>999999</x:v>
      </x:c>
      <x:c r="H126" s="30" t="str">
        <x:v>Controlled not-found behavior</x:v>
      </x:c>
      <x:c r="I126" s="30" t="str">
        <x:v>Not Run</x:v>
      </x:c>
      <x:c r="J126" s="30" t="str">
        <x:v>Low</x:v>
      </x:c>
      <x:c r="K126" s="30" t="str">
        <x:v>API Negative</x:v>
      </x:c>
      <x:c r="L126" s="31" t="str"/>
    </x:row>
    <x:row r="127">
      <x:c r="A127" s="29" t="str">
        <x:v>TC-126</x:v>
      </x:c>
      <x:c r="B127" s="30" t="str">
        <x:v>REQ-035</x:v>
      </x:c>
      <x:c r="C127" s="30" t="str">
        <x:v>Database Validation</x:v>
      </x:c>
      <x:c r="D127" s="30" t="str">
        <x:v>Unique email expectation</x:v>
      </x:c>
      <x:c r="E127" s="30" t="str">
        <x:v>Seed loaded</x:v>
      </x:c>
      <x:c r="F127" s="30" t="str">
        <x:v>Query a known user by email</x:v>
      </x:c>
      <x:c r="G127" s="30" t="str">
        <x:v>qa.user@example.com</x:v>
      </x:c>
      <x:c r="H127" s="30" t="str">
        <x:v>At most one intended user row is returned</x:v>
      </x:c>
      <x:c r="I127" s="30" t="str">
        <x:v>Not Run</x:v>
      </x:c>
      <x:c r="J127" s="30" t="str">
        <x:v>Medium</x:v>
      </x:c>
      <x:c r="K127" s="30" t="str">
        <x:v>Database</x:v>
      </x:c>
      <x:c r="L127" s="31" t="str"/>
    </x:row>
    <x:row r="128">
      <x:c r="A128" s="29" t="str">
        <x:v>TC-127</x:v>
      </x:c>
      <x:c r="B128" s="30" t="str">
        <x:v>REQ-035</x:v>
      </x:c>
      <x:c r="C128" s="30" t="str">
        <x:v>Database Validation</x:v>
      </x:c>
      <x:c r="D128" s="30" t="str">
        <x:v>Order item join integrity</x:v>
      </x:c>
      <x:c r="E128" s="30" t="str">
        <x:v>Seed loaded</x:v>
      </x:c>
      <x:c r="F128" s="30" t="str">
        <x:v>Join orders to order_items and products</x:v>
      </x:c>
      <x:c r="G128" s="30" t="str">
        <x:v>Order 1</x:v>
      </x:c>
      <x:c r="H128" s="30" t="str">
        <x:v>Every order item resolves to a product</x:v>
      </x:c>
      <x:c r="I128" s="30" t="str">
        <x:v>Not Run</x:v>
      </x:c>
      <x:c r="J128" s="30" t="str">
        <x:v>High</x:v>
      </x:c>
      <x:c r="K128" s="30" t="str">
        <x:v>Database</x:v>
      </x:c>
      <x:c r="L128" s="31" t="str"/>
    </x:row>
    <x:row r="129">
      <x:c r="A129" s="29" t="str">
        <x:v>TC-128</x:v>
      </x:c>
      <x:c r="B129" s="30" t="str">
        <x:v>REQ-035</x:v>
      </x:c>
      <x:c r="C129" s="30" t="str">
        <x:v>Database Validation</x:v>
      </x:c>
      <x:c r="D129" s="30" t="str">
        <x:v>Negative stock detection</x:v>
      </x:c>
      <x:c r="E129" s="30" t="str">
        <x:v>Seed loaded</x:v>
      </x:c>
      <x:c r="F129" s="30" t="str">
        <x:v>Query products where stock &lt; 0</x:v>
      </x:c>
      <x:c r="G129" s="30" t="str">
        <x:v>N/A</x:v>
      </x:c>
      <x:c r="H129" s="30" t="str">
        <x:v>No negative-stock rows in valid seed</x:v>
      </x:c>
      <x:c r="I129" s="30" t="str">
        <x:v>Not Run</x:v>
      </x:c>
      <x:c r="J129" s="30" t="str">
        <x:v>High</x:v>
      </x:c>
      <x:c r="K129" s="30" t="str">
        <x:v>Database</x:v>
      </x:c>
      <x:c r="L129" s="31" t="str"/>
    </x:row>
    <x:row r="130">
      <x:c r="A130" s="29" t="str">
        <x:v>TC-129</x:v>
      </x:c>
      <x:c r="B130" s="30" t="str">
        <x:v>REQ-035</x:v>
      </x:c>
      <x:c r="C130" s="30" t="str">
        <x:v>Database Validation</x:v>
      </x:c>
      <x:c r="D130" s="30" t="str">
        <x:v>Orphan order-item detection</x:v>
      </x:c>
      <x:c r="E130" s="30" t="str">
        <x:v>Seed loaded</x:v>
      </x:c>
      <x:c r="F130" s="30" t="str">
        <x:v>LEFT JOIN order_items to orders/products and filter missing parents</x:v>
      </x:c>
      <x:c r="G130" s="30" t="str">
        <x:v>N/A</x:v>
      </x:c>
      <x:c r="H130" s="30" t="str">
        <x:v>No orphan rows in valid seed</x:v>
      </x:c>
      <x:c r="I130" s="30" t="str">
        <x:v>Not Run</x:v>
      </x:c>
      <x:c r="J130" s="30" t="str">
        <x:v>High</x:v>
      </x:c>
      <x:c r="K130" s="30" t="str">
        <x:v>Database</x:v>
      </x:c>
      <x:c r="L130" s="31" t="str"/>
    </x:row>
    <x:row r="131">
      <x:c r="A131" s="32" t="str">
        <x:v>TC-130</x:v>
      </x:c>
      <x:c r="B131" s="33" t="str">
        <x:v>REQ-035</x:v>
      </x:c>
      <x:c r="C131" s="33" t="str">
        <x:v>Database Validation</x:v>
      </x:c>
      <x:c r="D131" s="33" t="str">
        <x:v>Cart subtotal recomputation</x:v>
      </x:c>
      <x:c r="E131" s="33" t="str">
        <x:v>Seed loaded</x:v>
      </x:c>
      <x:c r="F131" s="33" t="str">
        <x:v>SUM(quantity * unit_price) for cart</x:v>
      </x:c>
      <x:c r="G131" s="33" t="str">
        <x:v>Cart 1</x:v>
      </x:c>
      <x:c r="H131" s="33" t="str">
        <x:v>Calculated cart subtotal matches expected seed calculation</x:v>
      </x:c>
      <x:c r="I131" s="33" t="str">
        <x:v>Not Run</x:v>
      </x:c>
      <x:c r="J131" s="33" t="str">
        <x:v>High</x:v>
      </x:c>
      <x:c r="K131" s="33" t="str">
        <x:v>Database</x:v>
      </x:c>
      <x:c r="L131" s="34" t="str"/>
    </x:row>
  </x:sheetData>
  <x:conditionalFormatting sqref="I2:I131">
    <x:cfRule type="expression" dxfId="0" priority="1">
      <x:formula>I2="Pass"</x:formula>
    </x:cfRule>
    <x:cfRule type="expression" dxfId="1" priority="2">
      <x:formula>I2="Fail"</x:formula>
    </x:cfRule>
    <x:cfRule type="expression" dxfId="2" priority="3">
      <x:formula>I2="Blocked"</x:formula>
    </x:cfRule>
  </x:conditionalFormatting>
  <x:dataValidations count="2">
    <x:dataValidation type="list" sqref="I2:I131">
      <x:formula1>"Not Run,Pass,Fail,Blocked,Skipped"</x:formula1>
    </x:dataValidation>
    <x:dataValidation type="list" sqref="J2:J13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65" hidden="0" customWidth="1"/>
    <x:col min="4" max="4" width="65" hidden="0" customWidth="1"/>
    <x:col min="5" max="5" width="15" hidden="0" customWidth="1"/>
    <x:col min="6" max="6" width="14" hidden="0" customWidth="1"/>
  </x:cols>
  <x:sheetData>
    <x:row r="1">
      <x:c r="A1" s="12" t="str">
        <x:v>Requirement ID</x:v>
      </x:c>
      <x:c r="B1" s="13" t="str">
        <x:v>Module</x:v>
      </x:c>
      <x:c r="C1" s="13" t="str">
        <x:v>Requirement</x:v>
      </x:c>
      <x:c r="D1" s="13" t="str">
        <x:v>Linked Test Cases</x:v>
      </x:c>
      <x:c r="E1" s="13" t="str">
        <x:v>Test Case Count</x:v>
      </x:c>
      <x:c r="F1" s="14" t="str">
        <x:v>Coverage</x:v>
      </x:c>
    </x:row>
    <x:row r="2">
      <x:c r="A2" s="29" t="str">
        <x:v>REQ-001</x:v>
      </x:c>
      <x:c r="B2" s="30" t="str">
        <x:v>Authentication</x:v>
      </x:c>
      <x:c r="C2" s="30" t="str">
        <x:v>Allow a registered user to log in with valid credentials.</x:v>
      </x:c>
      <x:c r="D2" s="30" t="str">
        <x:v>TC-001, TC-081</x:v>
      </x:c>
      <x:c r="E2" s="30" t="str">
        <x:v>2</x:v>
      </x:c>
      <x:c r="F2" s="31" t="str">
        <x:v>Covered</x:v>
      </x:c>
    </x:row>
    <x:row r="3">
      <x:c r="A3" s="29" t="str">
        <x:v>REQ-002</x:v>
      </x:c>
      <x:c r="B3" s="30" t="str">
        <x:v>Authentication</x:v>
      </x:c>
      <x:c r="C3" s="30" t="str">
        <x:v>Reject login attempts with invalid credentials.</x:v>
      </x:c>
      <x:c r="D3" s="30" t="str">
        <x:v>TC-002, TC-003, TC-004, TC-005, TC-006, TC-082, TC-083, TC-084, TC-085</x:v>
      </x:c>
      <x:c r="E3" s="30" t="str">
        <x:v>9</x:v>
      </x:c>
      <x:c r="F3" s="31" t="str">
        <x:v>Covered</x:v>
      </x:c>
    </x:row>
    <x:row r="4">
      <x:c r="A4" s="29" t="str">
        <x:v>REQ-003</x:v>
      </x:c>
      <x:c r="B4" s="30" t="str">
        <x:v>Authentication</x:v>
      </x:c>
      <x:c r="C4" s="30" t="str">
        <x:v>Show a clear error for a locked-out account.</x:v>
      </x:c>
      <x:c r="D4" s="30" t="str">
        <x:v>TC-007</x:v>
      </x:c>
      <x:c r="E4" s="30" t="str">
        <x:v>1</x:v>
      </x:c>
      <x:c r="F4" s="31" t="str">
        <x:v>Covered</x:v>
      </x:c>
    </x:row>
    <x:row r="5">
      <x:c r="A5" s="29" t="str">
        <x:v>REQ-004</x:v>
      </x:c>
      <x:c r="B5" s="30" t="str">
        <x:v>Authentication</x:v>
      </x:c>
      <x:c r="C5" s="30" t="str">
        <x:v>Allow an authenticated user to log out.</x:v>
      </x:c>
      <x:c r="D5" s="30" t="str">
        <x:v>TC-008, TC-087</x:v>
      </x:c>
      <x:c r="E5" s="30" t="str">
        <x:v>2</x:v>
      </x:c>
      <x:c r="F5" s="31" t="str">
        <x:v>Covered</x:v>
      </x:c>
    </x:row>
    <x:row r="6">
      <x:c r="A6" s="29" t="str">
        <x:v>REQ-005</x:v>
      </x:c>
      <x:c r="B6" s="30" t="str">
        <x:v>Authentication</x:v>
      </x:c>
      <x:c r="C6" s="30" t="str">
        <x:v>Prevent unauthenticated use of protected inventory pages.</x:v>
      </x:c>
      <x:c r="D6" s="30" t="str">
        <x:v>TC-009</x:v>
      </x:c>
      <x:c r="E6" s="30" t="str">
        <x:v>1</x:v>
      </x:c>
      <x:c r="F6" s="31" t="str">
        <x:v>Covered</x:v>
      </x:c>
    </x:row>
    <x:row r="7">
      <x:c r="A7" s="29" t="str">
        <x:v>REQ-006</x:v>
      </x:c>
      <x:c r="B7" s="30" t="str">
        <x:v>Product Catalog</x:v>
      </x:c>
      <x:c r="C7" s="30" t="str">
        <x:v>Display product inventory after successful login.</x:v>
      </x:c>
      <x:c r="D7" s="30" t="str">
        <x:v>TC-010, TC-088</x:v>
      </x:c>
      <x:c r="E7" s="30" t="str">
        <x:v>2</x:v>
      </x:c>
      <x:c r="F7" s="31" t="str">
        <x:v>Covered</x:v>
      </x:c>
    </x:row>
    <x:row r="8">
      <x:c r="A8" s="29" t="str">
        <x:v>REQ-007</x:v>
      </x:c>
      <x:c r="B8" s="30" t="str">
        <x:v>Product Catalog</x:v>
      </x:c>
      <x:c r="C8" s="30" t="str">
        <x:v>Display product name, description, price, and image.</x:v>
      </x:c>
      <x:c r="D8" s="30" t="str">
        <x:v>TC-011, TC-020</x:v>
      </x:c>
      <x:c r="E8" s="30" t="str">
        <x:v>2</x:v>
      </x:c>
      <x:c r="F8" s="31" t="str">
        <x:v>Covered</x:v>
      </x:c>
    </x:row>
    <x:row r="9">
      <x:c r="A9" s="29" t="str">
        <x:v>REQ-008</x:v>
      </x:c>
      <x:c r="B9" s="30" t="str">
        <x:v>Product Catalog</x:v>
      </x:c>
      <x:c r="C9" s="30" t="str">
        <x:v>Allow opening a product detail page.</x:v>
      </x:c>
      <x:c r="D9" s="30" t="str">
        <x:v>TC-012, TC-013, TC-014, TC-089, TC-090, TC-091, TC-092</x:v>
      </x:c>
      <x:c r="E9" s="30" t="str">
        <x:v>7</x:v>
      </x:c>
      <x:c r="F9" s="31" t="str">
        <x:v>Covered</x:v>
      </x:c>
    </x:row>
    <x:row r="10">
      <x:c r="A10" s="29" t="str">
        <x:v>REQ-009</x:v>
      </x:c>
      <x:c r="B10" s="30" t="str">
        <x:v>Product Catalog</x:v>
      </x:c>
      <x:c r="C10" s="30" t="str">
        <x:v>Support name sorting ascending and descending.</x:v>
      </x:c>
      <x:c r="D10" s="30" t="str">
        <x:v>TC-015, TC-016, TC-019</x:v>
      </x:c>
      <x:c r="E10" s="30" t="str">
        <x:v>3</x:v>
      </x:c>
      <x:c r="F10" s="31" t="str">
        <x:v>Covered</x:v>
      </x:c>
    </x:row>
    <x:row r="11">
      <x:c r="A11" s="29" t="str">
        <x:v>REQ-010</x:v>
      </x:c>
      <x:c r="B11" s="30" t="str">
        <x:v>Product Catalog</x:v>
      </x:c>
      <x:c r="C11" s="30" t="str">
        <x:v>Support price sorting low-high and high-low.</x:v>
      </x:c>
      <x:c r="D11" s="30" t="str">
        <x:v>TC-017, TC-018</x:v>
      </x:c>
      <x:c r="E11" s="30" t="str">
        <x:v>2</x:v>
      </x:c>
      <x:c r="F11" s="31" t="str">
        <x:v>Covered</x:v>
      </x:c>
    </x:row>
    <x:row r="12">
      <x:c r="A12" s="29" t="str">
        <x:v>REQ-011</x:v>
      </x:c>
      <x:c r="B12" s="30" t="str">
        <x:v>Shopping Cart</x:v>
      </x:c>
      <x:c r="C12" s="30" t="str">
        <x:v>Allow adding a product to the cart.</x:v>
      </x:c>
      <x:c r="D12" s="30" t="str">
        <x:v>TC-023, TC-031, TC-097</x:v>
      </x:c>
      <x:c r="E12" s="30" t="str">
        <x:v>3</x:v>
      </x:c>
      <x:c r="F12" s="31" t="str">
        <x:v>Covered</x:v>
      </x:c>
    </x:row>
    <x:row r="13">
      <x:c r="A13" s="29" t="str">
        <x:v>REQ-012</x:v>
      </x:c>
      <x:c r="B13" s="30" t="str">
        <x:v>Shopping Cart</x:v>
      </x:c>
      <x:c r="C13" s="30" t="str">
        <x:v>Allow adding multiple different products to the cart.</x:v>
      </x:c>
      <x:c r="D13" s="30" t="str">
        <x:v>TC-024, TC-095, TC-100</x:v>
      </x:c>
      <x:c r="E13" s="30" t="str">
        <x:v>3</x:v>
      </x:c>
      <x:c r="F13" s="31" t="str">
        <x:v>Covered</x:v>
      </x:c>
    </x:row>
    <x:row r="14">
      <x:c r="A14" s="29" t="str">
        <x:v>REQ-013</x:v>
      </x:c>
      <x:c r="B14" s="30" t="str">
        <x:v>Shopping Cart</x:v>
      </x:c>
      <x:c r="C14" s="30" t="str">
        <x:v>Show a cart badge matching the number of added products.</x:v>
      </x:c>
      <x:c r="D14" s="30" t="str">
        <x:v>TC-021, TC-022, TC-032</x:v>
      </x:c>
      <x:c r="E14" s="30" t="str">
        <x:v>3</x:v>
      </x:c>
      <x:c r="F14" s="31" t="str">
        <x:v>Covered</x:v>
      </x:c>
    </x:row>
    <x:row r="15">
      <x:c r="A15" s="29" t="str">
        <x:v>REQ-014</x:v>
      </x:c>
      <x:c r="B15" s="30" t="str">
        <x:v>Shopping Cart</x:v>
      </x:c>
      <x:c r="C15" s="30" t="str">
        <x:v>Allow removing a product from the cart.</x:v>
      </x:c>
      <x:c r="D15" s="30" t="str">
        <x:v>TC-025, TC-026, TC-096, TC-098, TC-099</x:v>
      </x:c>
      <x:c r="E15" s="30" t="str">
        <x:v>5</x:v>
      </x:c>
      <x:c r="F15" s="31" t="str">
        <x:v>Covered</x:v>
      </x:c>
    </x:row>
    <x:row r="16">
      <x:c r="A16" s="29" t="str">
        <x:v>REQ-015</x:v>
      </x:c>
      <x:c r="B16" s="30" t="str">
        <x:v>Shopping Cart</x:v>
      </x:c>
      <x:c r="C16" s="30" t="str">
        <x:v>Preserve cart contents during navigation in the session.</x:v>
      </x:c>
      <x:c r="D16" s="30" t="str">
        <x:v>TC-027, TC-028, TC-110</x:v>
      </x:c>
      <x:c r="E16" s="30" t="str">
        <x:v>3</x:v>
      </x:c>
      <x:c r="F16" s="31" t="str">
        <x:v>Covered</x:v>
      </x:c>
    </x:row>
    <x:row r="17">
      <x:c r="A17" s="29" t="str">
        <x:v>REQ-016</x:v>
      </x:c>
      <x:c r="B17" s="30" t="str">
        <x:v>Shopping Cart</x:v>
      </x:c>
      <x:c r="C17" s="30" t="str">
        <x:v>Show correct product name and price in the cart.</x:v>
      </x:c>
      <x:c r="D17" s="30" t="str">
        <x:v>TC-029, TC-030</x:v>
      </x:c>
      <x:c r="E17" s="30" t="str">
        <x:v>2</x:v>
      </x:c>
      <x:c r="F17" s="31" t="str">
        <x:v>Covered</x:v>
      </x:c>
    </x:row>
    <x:row r="18">
      <x:c r="A18" s="29" t="str">
        <x:v>REQ-017</x:v>
      </x:c>
      <x:c r="B18" s="30" t="str">
        <x:v>Checkout</x:v>
      </x:c>
      <x:c r="C18" s="30" t="str">
        <x:v>Allow checkout to start from the cart.</x:v>
      </x:c>
      <x:c r="D18" s="30" t="str">
        <x:v>TC-033, TC-034, TC-111</x:v>
      </x:c>
      <x:c r="E18" s="30" t="str">
        <x:v>3</x:v>
      </x:c>
      <x:c r="F18" s="31" t="str">
        <x:v>Covered</x:v>
      </x:c>
    </x:row>
    <x:row r="19">
      <x:c r="A19" s="29" t="str">
        <x:v>REQ-018</x:v>
      </x:c>
      <x:c r="B19" s="30" t="str">
        <x:v>Checkout</x:v>
      </x:c>
      <x:c r="C19" s="30" t="str">
        <x:v>Require first name, last name, and postal code for checkout.</x:v>
      </x:c>
      <x:c r="D19" s="30" t="str">
        <x:v>TC-035, TC-104, TC-105, TC-106, TC-112</x:v>
      </x:c>
      <x:c r="E19" s="30" t="str">
        <x:v>5</x:v>
      </x:c>
      <x:c r="F19" s="31" t="str">
        <x:v>Covered</x:v>
      </x:c>
    </x:row>
    <x:row r="20">
      <x:c r="A20" s="29" t="str">
        <x:v>REQ-019</x:v>
      </x:c>
      <x:c r="B20" s="30" t="str">
        <x:v>Checkout</x:v>
      </x:c>
      <x:c r="C20" s="30" t="str">
        <x:v>Show validation when required checkout information is missing.</x:v>
      </x:c>
      <x:c r="D20" s="30" t="str">
        <x:v>TC-036, TC-037, TC-038, TC-039, TC-113, TC-114</x:v>
      </x:c>
      <x:c r="E20" s="30" t="str">
        <x:v>6</x:v>
      </x:c>
      <x:c r="F20" s="31" t="str">
        <x:v>Covered</x:v>
      </x:c>
    </x:row>
    <x:row r="21">
      <x:c r="A21" s="29" t="str">
        <x:v>REQ-020</x:v>
      </x:c>
      <x:c r="B21" s="30" t="str">
        <x:v>Checkout</x:v>
      </x:c>
      <x:c r="C21" s="30" t="str">
        <x:v>Show selected products and prices in checkout overview.</x:v>
      </x:c>
      <x:c r="D21" s="30" t="str">
        <x:v>TC-040, TC-049, TC-115</x:v>
      </x:c>
      <x:c r="E21" s="30" t="str">
        <x:v>3</x:v>
      </x:c>
      <x:c r="F21" s="31" t="str">
        <x:v>Covered</x:v>
      </x:c>
    </x:row>
    <x:row r="22">
      <x:c r="A22" s="29" t="str">
        <x:v>REQ-021</x:v>
      </x:c>
      <x:c r="B22" s="30" t="str">
        <x:v>Checkout</x:v>
      </x:c>
      <x:c r="C22" s="30" t="str">
        <x:v>Keep checkout item total, tax, and final total internally consistent.</x:v>
      </x:c>
      <x:c r="D22" s="30" t="str">
        <x:v>TC-041, TC-042, TC-043, TC-044, TC-107</x:v>
      </x:c>
      <x:c r="E22" s="30" t="str">
        <x:v>5</x:v>
      </x:c>
      <x:c r="F22" s="31" t="str">
        <x:v>Covered</x:v>
      </x:c>
    </x:row>
    <x:row r="23">
      <x:c r="A23" s="29" t="str">
        <x:v>REQ-022</x:v>
      </x:c>
      <x:c r="B23" s="30" t="str">
        <x:v>Checkout</x:v>
      </x:c>
      <x:c r="C23" s="30" t="str">
        <x:v>Allow a valid checkout to finish with success confirmation.</x:v>
      </x:c>
      <x:c r="D23" s="30" t="str">
        <x:v>TC-045, TC-046, TC-047, TC-108, TC-109</x:v>
      </x:c>
      <x:c r="E23" s="30" t="str">
        <x:v>5</x:v>
      </x:c>
      <x:c r="F23" s="31" t="str">
        <x:v>Covered</x:v>
      </x:c>
    </x:row>
    <x:row r="24">
      <x:c r="A24" s="29" t="str">
        <x:v>REQ-023</x:v>
      </x:c>
      <x:c r="B24" s="30" t="str">
        <x:v>Checkout</x:v>
      </x:c>
      <x:c r="C24" s="30" t="str">
        <x:v>Allow checkout cancellation without corrupting state.</x:v>
      </x:c>
      <x:c r="D24" s="30" t="str">
        <x:v>TC-048</x:v>
      </x:c>
      <x:c r="E24" s="30" t="str">
        <x:v>1</x:v>
      </x:c>
      <x:c r="F24" s="31" t="str">
        <x:v>Covered</x:v>
      </x:c>
    </x:row>
    <x:row r="25">
      <x:c r="A25" s="29" t="str">
        <x:v>REQ-024</x:v>
      </x:c>
      <x:c r="B25" s="30" t="str">
        <x:v>Navigation</x:v>
      </x:c>
      <x:c r="C25" s="30" t="str">
        <x:v>Allow navigation back to product inventory.</x:v>
      </x:c>
      <x:c r="D25" s="30" t="str">
        <x:v>TC-052, TC-053, TC-054, TC-101</x:v>
      </x:c>
      <x:c r="E25" s="30" t="str">
        <x:v>4</x:v>
      </x:c>
      <x:c r="F25" s="31" t="str">
        <x:v>Covered</x:v>
      </x:c>
    </x:row>
    <x:row r="26">
      <x:c r="A26" s="29" t="str">
        <x:v>REQ-025</x:v>
      </x:c>
      <x:c r="B26" s="30" t="str">
        <x:v>Navigation</x:v>
      </x:c>
      <x:c r="C26" s="30" t="str">
        <x:v>Allow opening and closing the application menu.</x:v>
      </x:c>
      <x:c r="D26" s="30" t="str">
        <x:v>TC-050, TC-051</x:v>
      </x:c>
      <x:c r="E26" s="30" t="str">
        <x:v>2</x:v>
      </x:c>
      <x:c r="F26" s="31" t="str">
        <x:v>Covered</x:v>
      </x:c>
    </x:row>
    <x:row r="27">
      <x:c r="A27" s="29" t="str">
        <x:v>REQ-026</x:v>
      </x:c>
      <x:c r="B27" s="30" t="str">
        <x:v>Usability</x:v>
      </x:c>
      <x:c r="C27" s="30" t="str">
        <x:v>Provide visible and understandable primary controls and errors.</x:v>
      </x:c>
      <x:c r="D27" s="30" t="str">
        <x:v>TC-055, TC-056, TC-086, TC-093, TC-102, TC-103, TC-116, TC-117</x:v>
      </x:c>
      <x:c r="E27" s="30" t="str">
        <x:v>8</x:v>
      </x:c>
      <x:c r="F27" s="31" t="str">
        <x:v>Covered</x:v>
      </x:c>
    </x:row>
    <x:row r="28">
      <x:c r="A28" s="29" t="str">
        <x:v>REQ-027</x:v>
      </x:c>
      <x:c r="B28" s="30" t="str">
        <x:v>Compatibility</x:v>
      </x:c>
      <x:c r="C28" s="30" t="str">
        <x:v>Support critical journey testing on Chromium, Firefox, and WebKit.</x:v>
      </x:c>
      <x:c r="D28" s="30" t="str">
        <x:v>TC-094, TC-118, TC-119</x:v>
      </x:c>
      <x:c r="E28" s="30" t="str">
        <x:v>3</x:v>
      </x:c>
      <x:c r="F28" s="31" t="str">
        <x:v>Covered</x:v>
      </x:c>
    </x:row>
    <x:row r="29">
      <x:c r="A29" s="29" t="str">
        <x:v>REQ-028</x:v>
      </x:c>
      <x:c r="B29" s="30" t="str">
        <x:v>API Products</x:v>
      </x:c>
      <x:c r="C29" s="30" t="str">
        <x:v>Return a collection of products with identifiers and attributes.</x:v>
      </x:c>
      <x:c r="D29" s="30" t="str">
        <x:v>TC-057, TC-058, TC-120</x:v>
      </x:c>
      <x:c r="E29" s="30" t="str">
        <x:v>3</x:v>
      </x:c>
      <x:c r="F29" s="31" t="str">
        <x:v>Covered</x:v>
      </x:c>
    </x:row>
    <x:row r="30">
      <x:c r="A30" s="29" t="str">
        <x:v>REQ-029</x:v>
      </x:c>
      <x:c r="B30" s="30" t="str">
        <x:v>API Products</x:v>
      </x:c>
      <x:c r="C30" s="30" t="str">
        <x:v>Return a single product for a valid identifier.</x:v>
      </x:c>
      <x:c r="D30" s="30" t="str">
        <x:v>TC-059</x:v>
      </x:c>
      <x:c r="E30" s="30" t="str">
        <x:v>1</x:v>
      </x:c>
      <x:c r="F30" s="31" t="str">
        <x:v>Covered</x:v>
      </x:c>
    </x:row>
    <x:row r="31">
      <x:c r="A31" s="29" t="str">
        <x:v>REQ-030</x:v>
      </x:c>
      <x:c r="B31" s="30" t="str">
        <x:v>API Products</x:v>
      </x:c>
      <x:c r="C31" s="30" t="str">
        <x:v>Support documented product search, pagination, sorting, and categories.</x:v>
      </x:c>
      <x:c r="D31" s="30" t="str">
        <x:v>TC-061, TC-062, TC-063, TC-064, TC-065, TC-066, TC-122</x:v>
      </x:c>
      <x:c r="E31" s="30" t="str">
        <x:v>7</x:v>
      </x:c>
      <x:c r="F31" s="31" t="str">
        <x:v>Covered</x:v>
      </x:c>
    </x:row>
    <x:row r="32">
      <x:c r="A32" s="29" t="str">
        <x:v>REQ-031</x:v>
      </x:c>
      <x:c r="B32" s="30" t="str">
        <x:v>API Products</x:v>
      </x:c>
      <x:c r="C32" s="30" t="str">
        <x:v>Return controlled error behavior for invalid/nonexistent product identifiers.</x:v>
      </x:c>
      <x:c r="D32" s="30" t="str">
        <x:v>TC-060, TC-121</x:v>
      </x:c>
      <x:c r="E32" s="30" t="str">
        <x:v>2</x:v>
      </x:c>
      <x:c r="F32" s="31" t="str">
        <x:v>Covered</x:v>
      </x:c>
    </x:row>
    <x:row r="33">
      <x:c r="A33" s="29" t="str">
        <x:v>REQ-032</x:v>
      </x:c>
      <x:c r="B33" s="30" t="str">
        <x:v>API Carts</x:v>
      </x:c>
      <x:c r="C33" s="30" t="str">
        <x:v>Return cart data including products, quantities, totals, and user.</x:v>
      </x:c>
      <x:c r="D33" s="30" t="str">
        <x:v>TC-067, TC-068, TC-069, TC-074, TC-123, TC-124, TC-125</x:v>
      </x:c>
      <x:c r="E33" s="30" t="str">
        <x:v>7</x:v>
      </x:c>
      <x:c r="F33" s="31" t="str">
        <x:v>Covered</x:v>
      </x:c>
    </x:row>
    <x:row r="34">
      <x:c r="A34" s="29" t="str">
        <x:v>REQ-033</x:v>
      </x:c>
      <x:c r="B34" s="30" t="str">
        <x:v>API Carts</x:v>
      </x:c>
      <x:c r="C34" s="30" t="str">
        <x:v>Simulate adding a new cart and return its representation.</x:v>
      </x:c>
      <x:c r="D34" s="30" t="str">
        <x:v>TC-071, TC-072, TC-073</x:v>
      </x:c>
      <x:c r="E34" s="30" t="str">
        <x:v>3</x:v>
      </x:c>
      <x:c r="F34" s="31" t="str">
        <x:v>Covered</x:v>
      </x:c>
    </x:row>
    <x:row r="35">
      <x:c r="A35" s="29" t="str">
        <x:v>REQ-034</x:v>
      </x:c>
      <x:c r="B35" s="30" t="str">
        <x:v>API Carts</x:v>
      </x:c>
      <x:c r="C35" s="30" t="str">
        <x:v>Support retrieving carts for a specific user.</x:v>
      </x:c>
      <x:c r="D35" s="30" t="str">
        <x:v>TC-070</x:v>
      </x:c>
      <x:c r="E35" s="30" t="str">
        <x:v>1</x:v>
      </x:c>
      <x:c r="F35" s="31" t="str">
        <x:v>Covered</x:v>
      </x:c>
    </x:row>
    <x:row r="36">
      <x:c r="A36" s="32" t="str">
        <x:v>REQ-035</x:v>
      </x:c>
      <x:c r="B36" s="33" t="str">
        <x:v>Data Validation</x:v>
      </x:c>
      <x:c r="C36" s="33" t="str">
        <x:v>Support representative SQL validation of user/cart/order data.</x:v>
      </x:c>
      <x:c r="D36" s="33" t="str">
        <x:v>TC-075, TC-076, TC-077, TC-078, TC-079, TC-080, TC-126, TC-127, TC-128, TC-129, TC-130</x:v>
      </x:c>
      <x:c r="E36" s="33" t="str">
        <x:v>11</x:v>
      </x:c>
      <x:c r="F36" s="34" t="str">
        <x:v>Covered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44" hidden="0" customWidth="1"/>
    <x:col min="4" max="4" width="12" hidden="0" customWidth="1"/>
    <x:col min="5" max="5" width="10" hidden="0" customWidth="1"/>
    <x:col min="6" max="6" width="14" hidden="0" customWidth="1"/>
    <x:col min="7" max="7" width="35" hidden="0" customWidth="1"/>
    <x:col min="8" max="8" width="45" hidden="0" customWidth="1"/>
    <x:col min="9" max="9" width="40" hidden="0" customWidth="1"/>
    <x:col min="10" max="10" width="40" hidden="0" customWidth="1"/>
    <x:col min="11" max="11" width="48" hidden="0" customWidth="1"/>
  </x:cols>
  <x:sheetData>
    <x:row r="1">
      <x:c r="A1" s="12" t="str">
        <x:v>Bug ID</x:v>
      </x:c>
      <x:c r="B1" s="13" t="str">
        <x:v>Module</x:v>
      </x:c>
      <x:c r="C1" s="13" t="str">
        <x:v>Title</x:v>
      </x:c>
      <x:c r="D1" s="13" t="str">
        <x:v>Severity</x:v>
      </x:c>
      <x:c r="E1" s="13" t="str">
        <x:v>Priority</x:v>
      </x:c>
      <x:c r="F1" s="13" t="str">
        <x:v>Status</x:v>
      </x:c>
      <x:c r="G1" s="13" t="str">
        <x:v>Precondition</x:v>
      </x:c>
      <x:c r="H1" s="13" t="str">
        <x:v>Steps to Reproduce</x:v>
      </x:c>
      <x:c r="I1" s="13" t="str">
        <x:v>Expected Result</x:v>
      </x:c>
      <x:c r="J1" s="13" t="str">
        <x:v>Actual Result</x:v>
      </x:c>
      <x:c r="K1" s="14" t="str">
        <x:v>Evidence/Notes</x:v>
      </x:c>
    </x:row>
    <x:row r="2">
      <x:c r="A2" s="29" t="str">
        <x:v>BUG-TPL-001</x:v>
      </x:c>
      <x:c r="B2" s="30" t="str">
        <x:v>Shopping Cart</x:v>
      </x:c>
      <x:c r="C2" s="30" t="str">
        <x:v>[Template] Cart badge does not update after adding an item</x:v>
      </x:c>
      <x:c r="D2" s="30" t="str">
        <x:v>Major</x:v>
      </x:c>
      <x:c r="E2" s="30" t="str">
        <x:v>High</x:v>
      </x:c>
      <x:c r="F2" s="30" t="str">
        <x:v>Not Executed</x:v>
      </x:c>
      <x:c r="G2" s="30" t="str">
        <x:v>Authenticated; cart empty</x:v>
      </x:c>
      <x:c r="H2" s="30" t="str">
        <x:v>Add one product; observe badge</x:v>
      </x:c>
      <x:c r="I2" s="30" t="str">
        <x:v>Badge increases to 1</x:v>
      </x:c>
      <x:c r="J2" s="30" t="str">
        <x:v>[Record during execution]</x:v>
      </x:c>
      <x:c r="K2" s="31" t="str">
        <x:v>Hypothetical training example only.</x:v>
      </x:c>
    </x:row>
    <x:row r="3">
      <x:c r="A3" s="29" t="str">
        <x:v>BUG-TPL-002</x:v>
      </x:c>
      <x:c r="B3" s="30" t="str">
        <x:v>Checkout</x:v>
      </x:c>
      <x:c r="C3" s="30" t="str">
        <x:v>[Template] Total does not equal item total plus tax</x:v>
      </x:c>
      <x:c r="D3" s="30" t="str">
        <x:v>Critical</x:v>
      </x:c>
      <x:c r="E3" s="30" t="str">
        <x:v>High</x:v>
      </x:c>
      <x:c r="F3" s="30" t="str">
        <x:v>Not Executed</x:v>
      </x:c>
      <x:c r="G3" s="30" t="str">
        <x:v>Checkout overview open</x:v>
      </x:c>
      <x:c r="H3" s="30" t="str">
        <x:v>Record item total/tax/total; recalculate</x:v>
      </x:c>
      <x:c r="I3" s="30" t="str">
        <x:v>Displayed total is correct</x:v>
      </x:c>
      <x:c r="J3" s="30" t="str">
        <x:v>[Record during execution]</x:v>
      </x:c>
      <x:c r="K3" s="31" t="str">
        <x:v>Hypothetical training example only.</x:v>
      </x:c>
    </x:row>
    <x:row r="4">
      <x:c r="A4" s="29" t="str">
        <x:v>BUG-TPL-003</x:v>
      </x:c>
      <x:c r="B4" s="30" t="str">
        <x:v>Authentication</x:v>
      </x:c>
      <x:c r="C4" s="30" t="str">
        <x:v>[Template] Locked-out user can access inventory</x:v>
      </x:c>
      <x:c r="D4" s="30" t="str">
        <x:v>Critical</x:v>
      </x:c>
      <x:c r="E4" s="30" t="str">
        <x:v>High</x:v>
      </x:c>
      <x:c r="F4" s="30" t="str">
        <x:v>Not Executed</x:v>
      </x:c>
      <x:c r="G4" s="30" t="str">
        <x:v>Login page open</x:v>
      </x:c>
      <x:c r="H4" s="30" t="str">
        <x:v>Login with locked-out account</x:v>
      </x:c>
      <x:c r="I4" s="30" t="str">
        <x:v>Access denied</x:v>
      </x:c>
      <x:c r="J4" s="30" t="str">
        <x:v>[Record during execution]</x:v>
      </x:c>
      <x:c r="K4" s="31" t="str">
        <x:v>Hypothetical training example only.</x:v>
      </x:c>
    </x:row>
    <x:row r="5">
      <x:c r="A5" s="29" t="str">
        <x:v>BUG-TPL-004</x:v>
      </x:c>
      <x:c r="B5" s="30" t="str">
        <x:v>Product Catalog</x:v>
      </x:c>
      <x:c r="C5" s="30" t="str">
        <x:v>[Template] Price sort order is incorrect</x:v>
      </x:c>
      <x:c r="D5" s="30" t="str">
        <x:v>Major</x:v>
      </x:c>
      <x:c r="E5" s="30" t="str">
        <x:v>Medium</x:v>
      </x:c>
      <x:c r="F5" s="30" t="str">
        <x:v>Not Executed</x:v>
      </x:c>
      <x:c r="G5" s="30" t="str">
        <x:v>Inventory page open</x:v>
      </x:c>
      <x:c r="H5" s="30" t="str">
        <x:v>Select low-to-high; read prices</x:v>
      </x:c>
      <x:c r="I5" s="30" t="str">
        <x:v>Prices are nondecreasing</x:v>
      </x:c>
      <x:c r="J5" s="30" t="str">
        <x:v>[Record during execution]</x:v>
      </x:c>
      <x:c r="K5" s="31" t="str">
        <x:v>Hypothetical training example only.</x:v>
      </x:c>
    </x:row>
    <x:row r="6">
      <x:c r="A6" s="29" t="str">
        <x:v>BUG-TPL-005</x:v>
      </x:c>
      <x:c r="B6" s="30" t="str">
        <x:v>API</x:v>
      </x:c>
      <x:c r="C6" s="30" t="str">
        <x:v>[Template] Product endpoint omits required field</x:v>
      </x:c>
      <x:c r="D6" s="30" t="str">
        <x:v>Major</x:v>
      </x:c>
      <x:c r="E6" s="30" t="str">
        <x:v>Medium</x:v>
      </x:c>
      <x:c r="F6" s="30" t="str">
        <x:v>Not Executed</x:v>
      </x:c>
      <x:c r="G6" s="30" t="str">
        <x:v>API reachable</x:v>
      </x:c>
      <x:c r="H6" s="30" t="str">
        <x:v>GET product; validate fields</x:v>
      </x:c>
      <x:c r="I6" s="30" t="str">
        <x:v>Required fields present</x:v>
      </x:c>
      <x:c r="J6" s="30" t="str">
        <x:v>[Record during execution]</x:v>
      </x:c>
      <x:c r="K6" s="31" t="str">
        <x:v>Hypothetical training example only.</x:v>
      </x:c>
    </x:row>
    <x:row r="7">
      <x:c r="A7" s="29" t="str"/>
      <x:c r="B7" s="30" t="str"/>
      <x:c r="C7" s="30" t="str"/>
      <x:c r="D7" s="30" t="str"/>
      <x:c r="E7" s="30" t="str"/>
      <x:c r="F7" s="30" t="str">
        <x:v>Open</x:v>
      </x:c>
      <x:c r="G7" s="30" t="str"/>
      <x:c r="H7" s="30" t="str"/>
      <x:c r="I7" s="30" t="str"/>
      <x:c r="J7" s="30" t="str"/>
      <x:c r="K7" s="31" t="str"/>
    </x:row>
    <x:row r="8">
      <x:c r="A8" s="29" t="str"/>
      <x:c r="B8" s="30" t="str"/>
      <x:c r="C8" s="30" t="str"/>
      <x:c r="D8" s="30" t="str"/>
      <x:c r="E8" s="30" t="str"/>
      <x:c r="F8" s="30" t="str">
        <x:v>Open</x:v>
      </x:c>
      <x:c r="G8" s="30" t="str"/>
      <x:c r="H8" s="30" t="str"/>
      <x:c r="I8" s="30" t="str"/>
      <x:c r="J8" s="30" t="str"/>
      <x:c r="K8" s="31" t="str"/>
    </x:row>
    <x:row r="9">
      <x:c r="A9" s="29" t="str"/>
      <x:c r="B9" s="30" t="str"/>
      <x:c r="C9" s="30" t="str"/>
      <x:c r="D9" s="30" t="str"/>
      <x:c r="E9" s="30" t="str"/>
      <x:c r="F9" s="30" t="str">
        <x:v>Open</x:v>
      </x:c>
      <x:c r="G9" s="30" t="str"/>
      <x:c r="H9" s="30" t="str"/>
      <x:c r="I9" s="30" t="str"/>
      <x:c r="J9" s="30" t="str"/>
      <x:c r="K9" s="31" t="str"/>
    </x:row>
    <x:row r="10">
      <x:c r="A10" s="29" t="str"/>
      <x:c r="B10" s="30" t="str"/>
      <x:c r="C10" s="30" t="str"/>
      <x:c r="D10" s="30" t="str"/>
      <x:c r="E10" s="30" t="str"/>
      <x:c r="F10" s="30" t="str">
        <x:v>Open</x:v>
      </x:c>
      <x:c r="G10" s="30" t="str"/>
      <x:c r="H10" s="30" t="str"/>
      <x:c r="I10" s="30" t="str"/>
      <x:c r="J10" s="30" t="str"/>
      <x:c r="K10" s="31" t="str"/>
    </x:row>
    <x:row r="11">
      <x:c r="A11" s="29" t="str"/>
      <x:c r="B11" s="30" t="str"/>
      <x:c r="C11" s="30" t="str"/>
      <x:c r="D11" s="30" t="str"/>
      <x:c r="E11" s="30" t="str"/>
      <x:c r="F11" s="30" t="str">
        <x:v>Open</x:v>
      </x:c>
      <x:c r="G11" s="30" t="str"/>
      <x:c r="H11" s="30" t="str"/>
      <x:c r="I11" s="30" t="str"/>
      <x:c r="J11" s="30" t="str"/>
      <x:c r="K11" s="31" t="str"/>
    </x:row>
    <x:row r="12">
      <x:c r="A12" s="29" t="str"/>
      <x:c r="B12" s="30" t="str"/>
      <x:c r="C12" s="30" t="str"/>
      <x:c r="D12" s="30" t="str"/>
      <x:c r="E12" s="30" t="str"/>
      <x:c r="F12" s="30" t="str">
        <x:v>Open</x:v>
      </x:c>
      <x:c r="G12" s="30" t="str"/>
      <x:c r="H12" s="30" t="str"/>
      <x:c r="I12" s="30" t="str"/>
      <x:c r="J12" s="30" t="str"/>
      <x:c r="K12" s="31" t="str"/>
    </x:row>
    <x:row r="13">
      <x:c r="A13" s="29" t="str"/>
      <x:c r="B13" s="30" t="str"/>
      <x:c r="C13" s="30" t="str"/>
      <x:c r="D13" s="30" t="str"/>
      <x:c r="E13" s="30" t="str"/>
      <x:c r="F13" s="30" t="str">
        <x:v>Open</x:v>
      </x:c>
      <x:c r="G13" s="30" t="str"/>
      <x:c r="H13" s="30" t="str"/>
      <x:c r="I13" s="30" t="str"/>
      <x:c r="J13" s="30" t="str"/>
      <x:c r="K13" s="31" t="str"/>
    </x:row>
    <x:row r="14">
      <x:c r="A14" s="29" t="str"/>
      <x:c r="B14" s="30" t="str"/>
      <x:c r="C14" s="30" t="str"/>
      <x:c r="D14" s="30" t="str"/>
      <x:c r="E14" s="30" t="str"/>
      <x:c r="F14" s="30" t="str">
        <x:v>Open</x:v>
      </x:c>
      <x:c r="G14" s="30" t="str"/>
      <x:c r="H14" s="30" t="str"/>
      <x:c r="I14" s="30" t="str"/>
      <x:c r="J14" s="30" t="str"/>
      <x:c r="K14" s="31" t="str"/>
    </x:row>
    <x:row r="15">
      <x:c r="A15" s="29" t="str"/>
      <x:c r="B15" s="30" t="str"/>
      <x:c r="C15" s="30" t="str"/>
      <x:c r="D15" s="30" t="str"/>
      <x:c r="E15" s="30" t="str"/>
      <x:c r="F15" s="30" t="str">
        <x:v>Open</x:v>
      </x:c>
      <x:c r="G15" s="30" t="str"/>
      <x:c r="H15" s="30" t="str"/>
      <x:c r="I15" s="30" t="str"/>
      <x:c r="J15" s="30" t="str"/>
      <x:c r="K15" s="31" t="str"/>
    </x:row>
    <x:row r="16">
      <x:c r="A16" s="29" t="str"/>
      <x:c r="B16" s="30" t="str"/>
      <x:c r="C16" s="30" t="str"/>
      <x:c r="D16" s="30" t="str"/>
      <x:c r="E16" s="30" t="str"/>
      <x:c r="F16" s="30" t="str">
        <x:v>Open</x:v>
      </x:c>
      <x:c r="G16" s="30" t="str"/>
      <x:c r="H16" s="30" t="str"/>
      <x:c r="I16" s="30" t="str"/>
      <x:c r="J16" s="30" t="str"/>
      <x:c r="K16" s="31" t="str"/>
    </x:row>
    <x:row r="17">
      <x:c r="A17" s="29" t="str"/>
      <x:c r="B17" s="30" t="str"/>
      <x:c r="C17" s="30" t="str"/>
      <x:c r="D17" s="30" t="str"/>
      <x:c r="E17" s="30" t="str"/>
      <x:c r="F17" s="30" t="str">
        <x:v>Open</x:v>
      </x:c>
      <x:c r="G17" s="30" t="str"/>
      <x:c r="H17" s="30" t="str"/>
      <x:c r="I17" s="30" t="str"/>
      <x:c r="J17" s="30" t="str"/>
      <x:c r="K17" s="31" t="str"/>
    </x:row>
    <x:row r="18">
      <x:c r="A18" s="29" t="str"/>
      <x:c r="B18" s="30" t="str"/>
      <x:c r="C18" s="30" t="str"/>
      <x:c r="D18" s="30" t="str"/>
      <x:c r="E18" s="30" t="str"/>
      <x:c r="F18" s="30" t="str">
        <x:v>Open</x:v>
      </x:c>
      <x:c r="G18" s="30" t="str"/>
      <x:c r="H18" s="30" t="str"/>
      <x:c r="I18" s="30" t="str"/>
      <x:c r="J18" s="30" t="str"/>
      <x:c r="K18" s="31" t="str"/>
    </x:row>
    <x:row r="19">
      <x:c r="A19" s="29" t="str"/>
      <x:c r="B19" s="30" t="str"/>
      <x:c r="C19" s="30" t="str"/>
      <x:c r="D19" s="30" t="str"/>
      <x:c r="E19" s="30" t="str"/>
      <x:c r="F19" s="30" t="str">
        <x:v>Open</x:v>
      </x:c>
      <x:c r="G19" s="30" t="str"/>
      <x:c r="H19" s="30" t="str"/>
      <x:c r="I19" s="30" t="str"/>
      <x:c r="J19" s="30" t="str"/>
      <x:c r="K19" s="31" t="str"/>
    </x:row>
    <x:row r="20">
      <x:c r="A20" s="29" t="str"/>
      <x:c r="B20" s="30" t="str"/>
      <x:c r="C20" s="30" t="str"/>
      <x:c r="D20" s="30" t="str"/>
      <x:c r="E20" s="30" t="str"/>
      <x:c r="F20" s="30" t="str">
        <x:v>Open</x:v>
      </x:c>
      <x:c r="G20" s="30" t="str"/>
      <x:c r="H20" s="30" t="str"/>
      <x:c r="I20" s="30" t="str"/>
      <x:c r="J20" s="30" t="str"/>
      <x:c r="K20" s="31" t="str"/>
    </x:row>
    <x:row r="21">
      <x:c r="A21" s="32" t="str"/>
      <x:c r="B21" s="33" t="str"/>
      <x:c r="C21" s="33" t="str"/>
      <x:c r="D21" s="33" t="str"/>
      <x:c r="E21" s="33" t="str"/>
      <x:c r="F21" s="33" t="str">
        <x:v>Open</x:v>
      </x:c>
      <x:c r="G21" s="33" t="str"/>
      <x:c r="H21" s="33" t="str"/>
      <x:c r="I21" s="33" t="str"/>
      <x:c r="J21" s="33" t="str"/>
      <x:c r="K21" s="34" t="str"/>
    </x:row>
  </x:sheetData>
  <x:dataValidations count="3">
    <x:dataValidation type="list" sqref="D2:D21">
      <x:formula1>"Critical,Major,Minor,Trivial"</x:formula1>
    </x:dataValidation>
    <x:dataValidation type="list" sqref="E2:E21">
      <x:formula1>"High,Medium,Low"</x:formula1>
    </x:dataValidation>
    <x:dataValidation type="list" sqref="F2:F21">
      <x:formula1>"Not Executed,Open,In Progress,Fixed,Retest,Closed,Rejected,Duplicate"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70" hidden="0" customWidth="1"/>
    <x:col min="4" max="4" width="12" hidden="0" customWidth="1"/>
    <x:col min="5" max="5" width="45" hidden="0" customWidth="1"/>
  </x:cols>
  <x:sheetData>
    <x:row r="1">
      <x:c r="A1" s="12" t="str">
        <x:v>Session ID</x:v>
      </x:c>
      <x:c r="B1" s="13" t="str">
        <x:v>Charter</x:v>
      </x:c>
      <x:c r="C1" s="13" t="str">
        <x:v>Mission</x:v>
      </x:c>
      <x:c r="D1" s="13" t="str">
        <x:v>Timebox</x:v>
      </x:c>
      <x:c r="E1" s="14" t="str">
        <x:v>Focus Areas</x:v>
      </x:c>
    </x:row>
    <x:row r="2">
      <x:c r="A2" s="29" t="str">
        <x:v>EXP-001</x:v>
      </x:c>
      <x:c r="B2" s="30" t="str">
        <x:v>Cart state consistency</x:v>
      </x:c>
      <x:c r="C2" s="30" t="str">
        <x:v>Explore cart state across inventory, detail, cart, back/forward, and session boundaries.</x:v>
      </x:c>
      <x:c r="D2" s="30" t="str">
        <x:v>45 min</x:v>
      </x:c>
      <x:c r="E2" s="31" t="str">
        <x:v>Navigation, session state, badge</x:v>
      </x:c>
    </x:row>
    <x:row r="3">
      <x:c r="A3" s="29" t="str">
        <x:v>EXP-002</x:v>
      </x:c>
      <x:c r="B3" s="30" t="str">
        <x:v>Checkout validation</x:v>
      </x:c>
      <x:c r="C3" s="30" t="str">
        <x:v>Explore missing, long, whitespace, and punctuation-heavy checkout fields.</x:v>
      </x:c>
      <x:c r="D3" s="30" t="str">
        <x:v>45 min</x:v>
      </x:c>
      <x:c r="E3" s="31" t="str">
        <x:v>Validation, boundaries, messages</x:v>
      </x:c>
    </x:row>
    <x:row r="4">
      <x:c r="A4" s="29" t="str">
        <x:v>EXP-003</x:v>
      </x:c>
      <x:c r="B4" s="30" t="str">
        <x:v>Sorting behavior</x:v>
      </x:c>
      <x:c r="C4" s="30" t="str">
        <x:v>Explore repeated sorting and navigation to detect stale or wrong ordering.</x:v>
      </x:c>
      <x:c r="D4" s="30" t="str">
        <x:v>30 min</x:v>
      </x:c>
      <x:c r="E4" s="31" t="str">
        <x:v>Name and price sorts</x:v>
      </x:c>
    </x:row>
    <x:row r="5">
      <x:c r="A5" s="29" t="str">
        <x:v>EXP-004</x:v>
      </x:c>
      <x:c r="B5" s="30" t="str">
        <x:v>Error recovery</x:v>
      </x:c>
      <x:c r="C5" s="30" t="str">
        <x:v>Trigger errors, correct input, and verify the flow recovers normally.</x:v>
      </x:c>
      <x:c r="D5" s="30" t="str">
        <x:v>30 min</x:v>
      </x:c>
      <x:c r="E5" s="31" t="str">
        <x:v>Error clearing, form state</x:v>
      </x:c>
    </x:row>
    <x:row r="6">
      <x:c r="A6" s="29" t="str">
        <x:v>EXP-005</x:v>
      </x:c>
      <x:c r="B6" s="30" t="str">
        <x:v>Keyboard usability</x:v>
      </x:c>
      <x:c r="C6" s="30" t="str">
        <x:v>Navigate critical pages with keyboard-only controls where supported.</x:v>
      </x:c>
      <x:c r="D6" s="30" t="str">
        <x:v>30 min</x:v>
      </x:c>
      <x:c r="E6" s="31" t="str">
        <x:v>Focus order, actions</x:v>
      </x:c>
    </x:row>
    <x:row r="7">
      <x:c r="A7" s="29" t="str">
        <x:v>EXP-006</x:v>
      </x:c>
      <x:c r="B7" s="30" t="str">
        <x:v>Cross-browser smoke</x:v>
      </x:c>
      <x:c r="C7" s="30" t="str">
        <x:v>Run the same critical journey on Chromium, Firefox, and WebKit.</x:v>
      </x:c>
      <x:c r="D7" s="30" t="str">
        <x:v>60 min</x:v>
      </x:c>
      <x:c r="E7" s="31" t="str">
        <x:v>Compatibility</x:v>
      </x:c>
    </x:row>
    <x:row r="8">
      <x:c r="A8" s="29" t="str">
        <x:v>EXP-007</x:v>
      </x:c>
      <x:c r="B8" s="30" t="str">
        <x:v>API negative behavior</x:v>
      </x:c>
      <x:c r="C8" s="30" t="str">
        <x:v>Probe nonexistent IDs, invalid formats, missing fields, and boundary parameters.</x:v>
      </x:c>
      <x:c r="D8" s="30" t="str">
        <x:v>45 min</x:v>
      </x:c>
      <x:c r="E8" s="31" t="str">
        <x:v>Status, body, stability</x:v>
      </x:c>
    </x:row>
    <x:row r="9">
      <x:c r="A9" s="32" t="str">
        <x:v>EXP-008</x:v>
      </x:c>
      <x:c r="B9" s="33" t="str">
        <x:v>Data integrity</x:v>
      </x:c>
      <x:c r="C9" s="33" t="str">
        <x:v>Compare API concepts with sample relational schema and validation queries.</x:v>
      </x:c>
      <x:c r="D9" s="33" t="str">
        <x:v>45 min</x:v>
      </x:c>
      <x:c r="E9" s="34" t="str">
        <x:v>Keys, totals, duplicates, orphans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2" hidden="0" customWidth="1"/>
    <x:col min="4" max="4" width="48" hidden="0" customWidth="1"/>
  </x:cols>
  <x:sheetData>
    <x:row r="1">
      <x:c r="A1" s="42" t="str">
        <x:v>QA Execution Dashboard</x:v>
      </x:c>
      <x:c r="B1" s="42"/>
      <x:c r="C1" s="42"/>
      <x:c r="D1" s="42"/>
    </x:row>
    <x:row r="3">
      <x:c r="A3" s="12" t="str">
        <x:v>Metric</x:v>
      </x:c>
      <x:c r="B3" s="13" t="str">
        <x:v>Value</x:v>
      </x:c>
      <x:c r="C3" s="13" t="str">
        <x:v>Meaning</x:v>
      </x:c>
      <x:c r="D3" s="14" t="str">
        <x:v>Notes</x:v>
      </x:c>
    </x:row>
    <x:row r="4">
      <x:c r="A4" s="15" t="str">
        <x:v>Total Test Cases</x:v>
      </x:c>
      <x:c r="B4" s="16" t="n">
        <x:f>COUNTA('Test Cases'!A2:A131)</x:f>
        <x:v>130</x:v>
      </x:c>
      <x:c r="C4" s="16" t="str">
        <x:v>Count of authored cases</x:v>
      </x:c>
      <x:c r="D4" s="17" t="str"/>
    </x:row>
    <x:row r="5">
      <x:c r="A5" s="15" t="str">
        <x:v>Not Run</x:v>
      </x:c>
      <x:c r="B5" s="16" t="n">
        <x:f>COUNTIF('Test Cases'!I2:I131,"Not Run")</x:f>
        <x:v>130</x:v>
      </x:c>
      <x:c r="C5" s="16" t="str">
        <x:v>Cases not yet executed</x:v>
      </x:c>
      <x:c r="D5" s="17" t="str">
        <x:v>Initial state</x:v>
      </x:c>
    </x:row>
    <x:row r="6">
      <x:c r="A6" s="15" t="str">
        <x:v>Passed</x:v>
      </x:c>
      <x:c r="B6" s="16" t="n">
        <x:f>COUNTIF('Test Cases'!I2:I131,"Pass")</x:f>
        <x:v>0</x:v>
      </x:c>
      <x:c r="C6" s="16" t="str">
        <x:v>Passed cases</x:v>
      </x:c>
      <x:c r="D6" s="17" t="str">
        <x:v>Update Test Cases after execution</x:v>
      </x:c>
    </x:row>
    <x:row r="7">
      <x:c r="A7" s="15" t="str">
        <x:v>Failed</x:v>
      </x:c>
      <x:c r="B7" s="16" t="n">
        <x:f>COUNTIF('Test Cases'!I2:I131,"Fail")</x:f>
        <x:v>0</x:v>
      </x:c>
      <x:c r="C7" s="16" t="str">
        <x:v>Failed cases</x:v>
      </x:c>
      <x:c r="D7" s="17" t="str"/>
    </x:row>
    <x:row r="8">
      <x:c r="A8" s="15" t="str">
        <x:v>Blocked</x:v>
      </x:c>
      <x:c r="B8" s="16" t="n">
        <x:f>COUNTIF('Test Cases'!I2:I131,"Blocked")</x:f>
        <x:v>0</x:v>
      </x:c>
      <x:c r="C8" s="16" t="str">
        <x:v>Blocked cases</x:v>
      </x:c>
      <x:c r="D8" s="17" t="str"/>
    </x:row>
    <x:row r="9">
      <x:c r="A9" s="15" t="str">
        <x:v>Skipped</x:v>
      </x:c>
      <x:c r="B9" s="16" t="n">
        <x:f>COUNTIF('Test Cases'!I2:I131,"Skipped")</x:f>
        <x:v>0</x:v>
      </x:c>
      <x:c r="C9" s="16" t="str">
        <x:v>Skipped cases</x:v>
      </x:c>
      <x:c r="D9" s="17" t="str"/>
    </x:row>
    <x:row r="10">
      <x:c r="A10" s="15" t="str">
        <x:v>Pass Rate</x:v>
      </x:c>
      <x:c r="B10" s="45" t="n">
        <x:f>IF((B6+B7+B8)=0,0,B6/(B6+B7+B8))</x:f>
        <x:v>0</x:v>
      </x:c>
      <x:c r="C10" s="16" t="str">
        <x:v>Passed / (Pass + Fail + Blocked)</x:v>
      </x:c>
      <x:c r="D10" s="17" t="str"/>
    </x:row>
    <x:row r="11">
      <x:c r="A11" s="15" t="str">
        <x:v>Execution Rate</x:v>
      </x:c>
      <x:c r="B11" s="45" t="n">
        <x:f>IF(B4=0,0,(B6+B7+B8+B9)/B4)</x:f>
        <x:v>0</x:v>
      </x:c>
      <x:c r="C11" s="16" t="str">
        <x:v>Executed / Total</x:v>
      </x:c>
      <x:c r="D11" s="17" t="str"/>
    </x:row>
    <x:row r="12">
      <x:c r="A12" s="15" t="str">
        <x:v>Requirements</x:v>
      </x:c>
      <x:c r="B12" s="16" t="n">
        <x:f>COUNTA(Requirements!A2:A36)</x:f>
        <x:v>35</x:v>
      </x:c>
      <x:c r="C12" s="16" t="str">
        <x:v>Total requirements</x:v>
      </x:c>
      <x:c r="D12" s="17" t="str"/>
    </x:row>
    <x:row r="13">
      <x:c r="A13" s="15" t="str">
        <x:v>Covered Requirements</x:v>
      </x:c>
      <x:c r="B13" s="16" t="n">
        <x:f>COUNTIF(RTM!F2:F36,"Covered")</x:f>
        <x:v>35</x:v>
      </x:c>
      <x:c r="C13" s="16" t="str">
        <x:v>Requirements linked to cases</x:v>
      </x:c>
      <x:c r="D13" s="17" t="str"/>
    </x:row>
    <x:row r="14">
      <x:c r="A14" s="18" t="str">
        <x:v>Requirement Coverage</x:v>
      </x:c>
      <x:c r="B14" s="47" t="n">
        <x:f>IF(B12=0,0,B13/B12)</x:f>
        <x:v>1</x:v>
      </x:c>
      <x:c r="C14" s="19" t="str">
        <x:v>Covered / Requirements</x:v>
      </x:c>
      <x:c r="D14" s="20" t="str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55" hidden="0" customWidth="1"/>
    <x:col min="4" max="4" width="65" hidden="0" customWidth="1"/>
  </x:cols>
  <x:sheetData>
    <x:row r="1">
      <x:c r="A1" s="12" t="str">
        <x:v>Area</x:v>
      </x:c>
      <x:c r="B1" s="13" t="str">
        <x:v>Source</x:v>
      </x:c>
      <x:c r="C1" s="13" t="str">
        <x:v>URL</x:v>
      </x:c>
      <x:c r="D1" s="14" t="str">
        <x:v>Purpose</x:v>
      </x:c>
    </x:row>
    <x:row r="2">
      <x:c r="A2" s="29" t="str">
        <x:v>UI target</x:v>
      </x:c>
      <x:c r="B2" s="30" t="str">
        <x:v>SauceDemo</x:v>
      </x:c>
      <x:c r="C2" s="30" t="str">
        <x:v>https://www.saucedemo.com/</x:v>
      </x:c>
      <x:c r="D2" s="31" t="str">
        <x:v>Demo e-commerce UI for browser/manual testing</x:v>
      </x:c>
    </x:row>
    <x:row r="3">
      <x:c r="A3" s="29" t="str">
        <x:v>API target</x:v>
      </x:c>
      <x:c r="B3" s="30" t="str">
        <x:v>DummyJSON Products</x:v>
      </x:c>
      <x:c r="C3" s="30" t="str">
        <x:v>https://dummyjson.com/docs/products</x:v>
      </x:c>
      <x:c r="D3" s="31" t="str">
        <x:v>Product API testing/prototyping</x:v>
      </x:c>
    </x:row>
    <x:row r="4">
      <x:c r="A4" s="29" t="str">
        <x:v>API target</x:v>
      </x:c>
      <x:c r="B4" s="30" t="str">
        <x:v>DummyJSON Carts</x:v>
      </x:c>
      <x:c r="C4" s="30" t="str">
        <x:v>https://dummyjson.com/docs/carts</x:v>
      </x:c>
      <x:c r="D4" s="31" t="str">
        <x:v>Cart API testing/prototyping</x:v>
      </x:c>
    </x:row>
    <x:row r="5">
      <x:c r="A5" s="32" t="str">
        <x:v>Automation</x:v>
      </x:c>
      <x:c r="B5" s="33" t="str">
        <x:v>Playwright Test</x:v>
      </x:c>
      <x:c r="C5" s="33" t="str">
        <x:v>https://playwright.dev/docs/intro</x:v>
      </x:c>
      <x:c r="D5" s="34" t="str">
        <x:v>TypeScript E2E automation framework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3" t="str">
        <x:v>E-Commerce Complete QA Project Workbook</x:v>
      </x:c>
      <x:c r="B1" s="54" t="str"/>
    </x:row>
    <x:row r="2">
      <x:c r="A2" s="55" t="str">
        <x:v>Purpose</x:v>
      </x:c>
      <x:c r="B2" s="31" t="str">
        <x:v>Recruiter-ready manual, API, DB, automation, traceability, and defect documentation.</x:v>
      </x:c>
    </x:row>
    <x:row r="3">
      <x:c r="A3" s="55" t="str">
        <x:v>Execution state</x:v>
      </x:c>
      <x:c r="B3" s="31" t="str">
        <x:v>All authored cases start as Not Run. Change only after real execution.</x:v>
      </x:c>
    </x:row>
    <x:row r="4">
      <x:c r="A4" s="55" t="str">
        <x:v>Defect integrity</x:v>
      </x:c>
      <x:c r="B4" s="31" t="str">
        <x:v>BUG-TPL rows are hypothetical templates, not verified findings.</x:v>
      </x:c>
    </x:row>
    <x:row r="5">
      <x:c r="A5" s="55" t="str">
        <x:v>UI target</x:v>
      </x:c>
      <x:c r="B5" s="31" t="str">
        <x:v>SauceDemo</x:v>
      </x:c>
    </x:row>
    <x:row r="6">
      <x:c r="A6" s="55" t="str">
        <x:v>API target</x:v>
      </x:c>
      <x:c r="B6" s="31" t="str">
        <x:v>DummyJSON Products and Carts</x:v>
      </x:c>
    </x:row>
    <x:row r="7">
      <x:c r="A7" s="55" t="str">
        <x:v>Contents</x:v>
      </x:c>
      <x:c r="B7" s="31" t="str">
        <x:v>35 requirements; 80 scenarios; 130 test cases; RTM; defect log; exploratory sessions; dashboard.</x:v>
      </x:c>
    </x:row>
    <x:row r="8">
      <x:c r="A8" s="56" t="str">
        <x:v>Workflow</x:v>
      </x:c>
      <x:c r="B8" s="34" t="str">
        <x:v>Requirements -&gt; Scenarios -&gt; Cases -&gt; Execute -&gt; Defects -&gt; Regression -&gt; Summary</x:v>
      </x:c>
    </x:row>
  </x:sheetData>
  <x:mergeCells>
    <x:mergeCell ref="A1:B1"/>
  </x:mergeCells>
  <x:pageMargins left="0.7" right="0.7" top="0.75" bottom="0.75" header="0.3" footer="0.3"/>
</x:worksheet>
</file>